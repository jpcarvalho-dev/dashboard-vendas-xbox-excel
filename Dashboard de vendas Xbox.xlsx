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220ee0604027d/Documentos/Santander- Excel com IA e Claude/"/>
    </mc:Choice>
  </mc:AlternateContent>
  <xr:revisionPtr revIDLastSave="6" documentId="13_ncr:1_{3C2F8ED6-40B2-4E08-832A-7140AC03FA60}" xr6:coauthVersionLast="47" xr6:coauthVersionMax="47" xr10:uidLastSave="{59903F74-8BDE-42D9-BA06-4951CF5252BD}"/>
  <bookViews>
    <workbookView xWindow="-108" yWindow="-108" windowWidth="23256" windowHeight="12456" tabRatio="16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3" l="1"/>
  <c r="D16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<sst xmlns="http://schemas.openxmlformats.org/spreadsheetml/2006/main" count="2018" uniqueCount="320">
  <si>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</si>
  <si>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</si>
  <si>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</si>
  <si>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</si>
  <si>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</si>
  <si>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</si>
  <si>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</si>
  <si>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</si>
  <si>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</si>
  <si>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</si>
  <si>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</si>
  <si>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</si>
  <si>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</si>
  <si>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</si>
  <si>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</si>
  <si>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</si>
  <si>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</si>
  <si>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</si>
  <si>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</si>
  <si>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</si>
  <si>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</si>
  <si>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</si>
  <si>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</si>
  <si>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</si>
  <si>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</si>
  <si>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</si>
  <si>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</si>
  <si>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</si>
  <si>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</si>
  <si>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</si>
  <si>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</si>
  <si>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</si>
  <si>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</si>
  <si>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</si>
  <si>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</si>
  <si>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</si>
  <si>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</si>
  <si>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</si>
  <si>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</si>
  <si>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</si>
  <si>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</si>
  <si>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</si>
  <si>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</si>
  <si>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</si>
  <si>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</si>
  <si>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</si>
  <si>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</si>
  <si>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</si>
  <si>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</si>
  <si>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</si>
  <si>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</si>
  <si>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</si>
  <si>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</si>
  <si>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</si>
  <si>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</si>
  <si>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</si>
  <si>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</si>
  <si>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</si>
  <si>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</si>
  <si>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</si>
  <si>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</si>
  <si>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</si>
  <si>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</si>
  <si>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</si>
  <si>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</si>
  <si>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</si>
  <si>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</si>
  <si>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</si>
  <si>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</si>
  <si>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</si>
  <si>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</si>
  <si>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</si>
  <si>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</si>
  <si>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</si>
  <si>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</si>
  <si>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</si>
  <si>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</si>
  <si>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</si>
  <si>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</si>
  <si>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</si>
  <si>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</si>
  <si>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</si>
  <si>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</si>
  <si>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</si>
  <si>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</si>
  <si>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</si>
  <si>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</si>
  <si>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</si>
  <si>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</si>
  <si>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</si>
  <si>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</si>
  <si>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</si>
  <si>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</si>
  <si>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</si>
  <si>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</si>
  <si>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</si>
  <si>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</si>
  <si>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</si>
  <si>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</si>
  <si>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</si>
  <si>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</si>
  <si>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</si>
  <si>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</si>
  <si>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</si>
  <si>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</si>
  <si>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</si>
  <si>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</si>
  <si>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</si>
  <si>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</si>
  <si>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</si>
  <si>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</si>
  <si>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</si>
  <si>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</si>
  <si>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</si>
  <si>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</si>
  <si>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</si>
  <si>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</si>
  <si>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</si>
  <si>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</si>
  <si>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</si>
  <si>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</si>
  <si>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</si>
  <si>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</si>
  <si>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</si>
  <si>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</si>
  <si>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</si>
  <si>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</si>
  <si>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</si>
  <si>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</si>
  <si>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</si>
  <si>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</si>
  <si>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</si>
  <si>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</si>
  <si>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</si>
  <si>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</si>
  <si>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</si>
  <si>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</si>
  <si>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</si>
  <si>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</si>
  <si>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</si>
  <si>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</si>
  <si>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</si>
  <si>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</si>
  <si>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</si>
  <si>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</si>
  <si>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</si>
  <si>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</si>
  <si>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</si>
  <si>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</si>
  <si>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</si>
  <si>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</si>
  <si>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</si>
  <si>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</si>
  <si>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</si>
  <si>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</si>
  <si>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</si>
  <si>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</si>
  <si>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</si>
  <si>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</si>
  <si>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</si>
  <si>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</si>
  <si>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</si>
  <si>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</si>
  <si>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</si>
  <si>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</si>
  <si>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</si>
  <si>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</si>
  <si>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</si>
  <si>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</si>
  <si>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</si>
  <si>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</si>
  <si>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</si>
  <si>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</si>
  <si>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</si>
  <si>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</si>
  <si>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</si>
  <si>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</si>
  <si>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</si>
  <si>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</si>
  <si>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</si>
  <si>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</si>
  <si>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</si>
  <si>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</si>
  <si>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</si>
  <si>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</si>
  <si>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</si>
  <si>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</si>
  <si>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</si>
  <si>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</si>
  <si>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</si>
  <si>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</si>
  <si>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</si>
  <si>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</si>
  <si>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</si>
  <si>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</si>
  <si>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</si>
  <si>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</si>
  <si>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</si>
  <si>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</si>
  <si>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</si>
  <si>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</si>
  <si>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</si>
  <si>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</si>
  <si>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</si>
  <si>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</si>
  <si>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</si>
  <si>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</si>
  <si>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</si>
  <si>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</si>
  <si>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</si>
  <si>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</si>
  <si>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</si>
  <si>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</si>
  <si>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</si>
  <si>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</si>
  <si>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</si>
  <si>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</si>
  <si>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</si>
  <si>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</si>
  <si>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</si>
  <si>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</si>
  <si>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</si>
  <si>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</si>
  <si>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</si>
  <si>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</si>
  <si>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</si>
  <si>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</si>
  <si>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</si>
  <si>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</si>
  <si>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</si>
  <si>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</si>
  <si>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</si>
  <si>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</si>
  <si>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</si>
  <si>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</si>
  <si>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</si>
  <si>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</si>
  <si>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</si>
  <si>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</si>
  <si>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</si>
  <si>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</si>
  <si>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</si>
  <si>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</si>
  <si>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</si>
  <si>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</si>
  <si>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</si>
  <si>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</si>
  <si>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</si>
  <si>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</si>
  <si>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</si>
  <si>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</si>
  <si>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</si>
  <si>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</si>
  <si>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</si>
  <si>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</si>
  <si>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</si>
  <si>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</si>
  <si>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</si>
  <si>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</si>
  <si>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</si>
  <si>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</si>
  <si>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</si>
  <si>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</si>
  <si>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</si>
  <si>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</si>
  <si>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</si>
  <si>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</si>
  <si>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</si>
  <si>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</si>
  <si>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</si>
  <si>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</si>
  <si>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</si>
  <si>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</si>
  <si>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</si>
  <si>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</si>
  <si>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</si>
  <si>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</si>
  <si>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</si>
  <si>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</si>
  <si>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</si>
  <si>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</si>
  <si>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</si>
  <si>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</si>
  <si>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</si>
  <si>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</si>
  <si>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</si>
  <si>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</si>
  <si>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</si>
  <si>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</si>
  <si>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</si>
  <si>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</si>
  <si>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</si>
  <si>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</si>
  <si>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</si>
  <si>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</si>
  <si>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</si>
  <si>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</si>
  <si>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</si>
  <si>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</si>
  <si>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</si>
  <si>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</si>
  <si>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</si>
  <si>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</si>
  <si>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</si>
  <si>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</si>
  <si>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</si>
  <si>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</si>
  <si>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</si>
  <si>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</si>
  <si>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</si>
  <si>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</si>
  <si>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</si>
  <si>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</si>
  <si>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</si>
  <si>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</si>
  <si>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</si>
  <si>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SUBSCRIPTIONS SALES</t>
  </si>
  <si>
    <t>Soma de EA Play Season Pass</t>
  </si>
  <si>
    <t>Soma de Minecraft Season Pass Price</t>
  </si>
  <si>
    <t>Calculation period: 01/012026 - 31/12/2026 |Update date: 25/12/2026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</si>
</sst>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33CC33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C7D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0" fontId="0" fillId="8" borderId="0" xfId="0" applyFill="1"/>
    <xf numFmtId="0" fontId="0" fillId="9" borderId="0" xfId="0" applyFill="1"/>
    <xf numFmtId="49" fontId="0" fillId="7" borderId="0" xfId="0" applyNumberFormat="1" applyFill="1"/>
    <xf numFmtId="0" fontId="0" fillId="0" borderId="2" xfId="0" applyBorder="1"/>
    <xf numFmtId="0" fontId="1" fillId="0" borderId="2" xfId="1" applyBorder="1" applyAlignment="1"/>
    <xf numFmtId="0" fontId="1" fillId="0" borderId="2" xfId="1" applyBorder="1"/>
    <xf numFmtId="0" fontId="0" fillId="0" borderId="0" xfId="0" applyBorder="1"/>
    <xf numFmtId="0" fontId="4" fillId="0" borderId="2" xfId="1" applyFont="1" applyBorder="1" applyAlignment="1">
      <alignment horizontal="left" indent="6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21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3C7D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0F4EF37-E0A6-4543-8395-C2BCAA990E22}">
      <tableStyleElement type="wholeTable" dxfId="106"/>
      <tableStyleElement type="headerRow" dxfId="105"/>
    </tableStyle>
  </tableStyles>
  <colors>
    <mruColors>
      <color rgb="FF5BF6A8"/>
      <color rgb="FFE8E6E9"/>
      <color rgb="FF3C7D22"/>
      <color rgb="FF22C55E"/>
      <color rgb="FF000000"/>
      <color rgb="FF33CC33"/>
      <color rgb="FFFFFFFF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[805d54f9-6d53-4246-bed7-4aa2da615923.xlsx]C̳álculos!TBN_ANNUAL-TOTAL</c:name>
    <c:fmtId val="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625629217676197E-2"/>
          <c:y val="2.2089707987416322E-2"/>
          <c:w val="0.94698300299142857"/>
          <c:h val="0.960107810360049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6-4467-8DE0-522756182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482431"/>
        <c:axId val="361489151"/>
      </c:barChart>
      <c:catAx>
        <c:axId val="36148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1489151"/>
        <c:crosses val="autoZero"/>
        <c:auto val="1"/>
        <c:lblAlgn val="ctr"/>
        <c:lblOffset val="100"/>
        <c:noMultiLvlLbl val="0"/>
      </c:catAx>
      <c:valAx>
        <c:axId val="361489151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61482431"/>
        <c:crosses val="autoZero"/>
        <c:crossBetween val="between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42863</xdr:colOff>
      <xdr:row>1</xdr:row>
      <xdr:rowOff>47625</xdr:rowOff>
    </xdr:from>
    <xdr:to>
      <xdr:col>2</xdr:col>
      <xdr:colOff>451138</xdr:colOff>
      <xdr:row>2</xdr:row>
      <xdr:rowOff>33337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72ADB9-C42B-4B6F-A1E5-B1164B809C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2060" t="-8718" r="64454" b="-11159"/>
        <a:stretch/>
      </xdr:blipFill>
      <xdr:spPr>
        <a:xfrm>
          <a:off x="2005013" y="228600"/>
          <a:ext cx="655925" cy="481012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</xdr:colOff>
      <xdr:row>4</xdr:row>
      <xdr:rowOff>23813</xdr:rowOff>
    </xdr:from>
    <xdr:to>
      <xdr:col>0</xdr:col>
      <xdr:colOff>1909762</xdr:colOff>
      <xdr:row>11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05E89D8-3B4E-4311-A9D5-0886BFF77D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" y="983933"/>
              <a:ext cx="1847850" cy="1294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85725</xdr:colOff>
      <xdr:row>6</xdr:row>
      <xdr:rowOff>9524</xdr:rowOff>
    </xdr:from>
    <xdr:to>
      <xdr:col>10</xdr:col>
      <xdr:colOff>47625</xdr:colOff>
      <xdr:row>12</xdr:row>
      <xdr:rowOff>80010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512304D-E154-F602-FEC4-9AA66A170227}"/>
            </a:ext>
          </a:extLst>
        </xdr:cNvPr>
        <xdr:cNvGrpSpPr/>
      </xdr:nvGrpSpPr>
      <xdr:grpSpPr>
        <a:xfrm>
          <a:off x="2287905" y="1198244"/>
          <a:ext cx="4838700" cy="1343026"/>
          <a:chOff x="2428875" y="914399"/>
          <a:chExt cx="5448300" cy="133731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7E13439-F19E-1E8E-C312-29111D832184}"/>
              </a:ext>
            </a:extLst>
          </xdr:cNvPr>
          <xdr:cNvSpPr/>
        </xdr:nvSpPr>
        <xdr:spPr>
          <a:xfrm>
            <a:off x="2439051" y="988934"/>
            <a:ext cx="5420806" cy="1106564"/>
          </a:xfrm>
          <a:prstGeom prst="roundRect">
            <a:avLst>
              <a:gd name="adj" fmla="val 2324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C̳álculos!D1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5149DA0-DC3D-437A-A88E-A42209E9680C}"/>
              </a:ext>
            </a:extLst>
          </xdr:cNvPr>
          <xdr:cNvSpPr/>
        </xdr:nvSpPr>
        <xdr:spPr>
          <a:xfrm>
            <a:off x="4362450" y="1438275"/>
            <a:ext cx="3009900" cy="5619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F232E9-B3FE-4DD6-BC04-DC597484B226}" type="TxLink">
              <a:rPr lang="en-US" sz="3600" b="0" i="0" u="none" strike="noStrike">
                <a:solidFill>
                  <a:schemeClr val="accent6">
                    <a:lumMod val="60000"/>
                    <a:lumOff val="40000"/>
                  </a:schemeClr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chemeClr val="accent6">
                  <a:lumMod val="60000"/>
                  <a:lumOff val="40000"/>
                </a:schemeClr>
              </a:solidFill>
            </a:endParaRP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5C53D044-05BA-E4FA-A118-EA71075F69D8}"/>
              </a:ext>
            </a:extLst>
          </xdr:cNvPr>
          <xdr:cNvSpPr/>
        </xdr:nvSpPr>
        <xdr:spPr>
          <a:xfrm>
            <a:off x="2428875" y="914399"/>
            <a:ext cx="5448300" cy="470146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+mn-cs"/>
              </a:rPr>
              <a:t>TOTAL </a:t>
            </a:r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+mn-cs"/>
              </a:rPr>
              <a:t> EA PLAY SEASON PASS</a:t>
            </a:r>
            <a:r>
              <a:rPr lang="pt-BR" sz="1400">
                <a:solidFill>
                  <a:schemeClr val="bg1"/>
                </a:solidFill>
                <a:latin typeface="Segoe UI Variable Text" pitchFamily="2" charset="0"/>
                <a:ea typeface="Segoe UI Black" panose="020B0A02040204020203" pitchFamily="34" charset="0"/>
              </a:rPr>
              <a:t> </a:t>
            </a: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995BAF5-8F20-4526-9E34-3447EC5865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24200" y="1213366"/>
            <a:ext cx="1295400" cy="103834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390525</xdr:colOff>
      <xdr:row>6</xdr:row>
      <xdr:rowOff>9524</xdr:rowOff>
    </xdr:from>
    <xdr:to>
      <xdr:col>19</xdr:col>
      <xdr:colOff>0</xdr:colOff>
      <xdr:row>11</xdr:row>
      <xdr:rowOff>114298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D85061A6-F6D6-53F9-5FBE-869DBEEE2B0B}"/>
            </a:ext>
          </a:extLst>
        </xdr:cNvPr>
        <xdr:cNvGrpSpPr/>
      </xdr:nvGrpSpPr>
      <xdr:grpSpPr>
        <a:xfrm>
          <a:off x="7469505" y="1198244"/>
          <a:ext cx="4935855" cy="1194434"/>
          <a:chOff x="9972675" y="3438525"/>
          <a:chExt cx="4838700" cy="1181099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7E921CD1-DA68-4FEF-AEE9-03938917B990}"/>
              </a:ext>
            </a:extLst>
          </xdr:cNvPr>
          <xdr:cNvGrpSpPr/>
        </xdr:nvGrpSpPr>
        <xdr:grpSpPr>
          <a:xfrm>
            <a:off x="9972675" y="3438525"/>
            <a:ext cx="4838700" cy="1181099"/>
            <a:chOff x="2428875" y="914399"/>
            <a:chExt cx="5448300" cy="1181099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2AE2797D-46D4-0C2A-D041-15A8342512E6}"/>
                </a:ext>
              </a:extLst>
            </xdr:cNvPr>
            <xdr:cNvSpPr/>
          </xdr:nvSpPr>
          <xdr:spPr>
            <a:xfrm>
              <a:off x="2439051" y="988934"/>
              <a:ext cx="5420806" cy="1106564"/>
            </a:xfrm>
            <a:prstGeom prst="roundRect">
              <a:avLst>
                <a:gd name="adj" fmla="val 2918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bg1">
                    <a:lumMod val="95000"/>
                  </a:schemeClr>
                </a:solidFill>
              </a:endParaRPr>
            </a:p>
          </xdr:txBody>
        </xdr:sp>
        <xdr:sp macro="" textlink="C̳álculos!D27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665F3C3E-7A52-1844-27D2-B7206C0E1CDC}"/>
                </a:ext>
              </a:extLst>
            </xdr:cNvPr>
            <xdr:cNvSpPr/>
          </xdr:nvSpPr>
          <xdr:spPr>
            <a:xfrm>
              <a:off x="4362450" y="1438275"/>
              <a:ext cx="3009900" cy="561975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FE087F3-55F5-4386-958E-DBC611CB8E38}" type="TxLink">
                <a:rPr lang="en-US" sz="3600" b="0" i="0" u="none" strike="noStrike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Aptos Narrow"/>
                </a:rPr>
                <a:t>R$ 940,00</a:t>
              </a:fld>
              <a:endParaRPr lang="pt-BR" sz="8800">
                <a:solidFill>
                  <a:schemeClr val="accent6">
                    <a:lumMod val="60000"/>
                    <a:lumOff val="40000"/>
                  </a:schemeClr>
                </a:solidFill>
              </a:endParaRPr>
            </a:p>
          </xdr:txBody>
        </xdr:sp>
        <xdr:sp macro="" textlink="">
          <xdr:nvSpPr>
            <xdr:cNvPr id="30" name="Retângulo 29">
              <a:extLst>
                <a:ext uri="{FF2B5EF4-FFF2-40B4-BE49-F238E27FC236}">
                  <a16:creationId xmlns:a16="http://schemas.microsoft.com/office/drawing/2014/main" id="{F37C8AE4-FFA2-715C-5791-CE3A4581CB6C}"/>
                </a:ext>
              </a:extLst>
            </xdr:cNvPr>
            <xdr:cNvSpPr/>
          </xdr:nvSpPr>
          <xdr:spPr>
            <a:xfrm>
              <a:off x="2428875" y="914399"/>
              <a:ext cx="5448300" cy="470146"/>
            </a:xfrm>
            <a:prstGeom prst="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400" b="0" i="0">
                  <a:solidFill>
                    <a:schemeClr val="bg1"/>
                  </a:solidFill>
                  <a:effectLst/>
                  <a:latin typeface="Segoe UI Variable Text" pitchFamily="2" charset="0"/>
                  <a:ea typeface="Segoe UI Black" panose="020B0A02040204020203" pitchFamily="34" charset="0"/>
                  <a:cs typeface="+mn-cs"/>
                </a:rPr>
                <a:t>TOTAL SUBSCRIPTIONS MINECRAFT SEASON PASS</a:t>
              </a:r>
              <a:r>
                <a:rPr lang="pt-BR" sz="1400">
                  <a:solidFill>
                    <a:schemeClr val="bg1"/>
                  </a:solidFill>
                  <a:effectLst/>
                  <a:latin typeface="Segoe UI Variable Text" pitchFamily="2" charset="0"/>
                  <a:ea typeface="Segoe UI Black" panose="020B0A02040204020203" pitchFamily="34" charset="0"/>
                  <a:cs typeface="+mn-cs"/>
                </a:rPr>
                <a:t> </a:t>
              </a:r>
              <a:endParaRPr lang="pt-BR" sz="1800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</a:endParaRPr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4A005E41-2B67-476B-BC26-1C80EDC4237B}"/>
              </a:ext>
            </a:extLst>
          </xdr:cNvPr>
          <xdr:cNvGrpSpPr/>
        </xdr:nvGrpSpPr>
        <xdr:grpSpPr>
          <a:xfrm>
            <a:off x="10315575" y="3981450"/>
            <a:ext cx="1123950" cy="531495"/>
            <a:chOff x="3495675" y="5400674"/>
            <a:chExt cx="1549476" cy="752476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99BF0DC7-D450-67BF-F6A1-D89D26E4D7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4" name="Gráfico 33">
              <a:extLst>
                <a:ext uri="{FF2B5EF4-FFF2-40B4-BE49-F238E27FC236}">
                  <a16:creationId xmlns:a16="http://schemas.microsoft.com/office/drawing/2014/main" id="{733C95F5-F7BC-F786-F8D5-16144048B96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38100</xdr:colOff>
      <xdr:row>13</xdr:row>
      <xdr:rowOff>114299</xdr:rowOff>
    </xdr:from>
    <xdr:to>
      <xdr:col>19</xdr:col>
      <xdr:colOff>19050</xdr:colOff>
      <xdr:row>30</xdr:row>
      <xdr:rowOff>85724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2CD39088-2737-3057-0367-44C74CC30A31}"/>
            </a:ext>
          </a:extLst>
        </xdr:cNvPr>
        <xdr:cNvGrpSpPr/>
      </xdr:nvGrpSpPr>
      <xdr:grpSpPr>
        <a:xfrm>
          <a:off x="2240280" y="2758439"/>
          <a:ext cx="10184130" cy="3080385"/>
          <a:chOff x="2219325" y="2743925"/>
          <a:chExt cx="10277475" cy="291392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76C72E64-A97E-ACE6-C9E9-6960AEC1239F}"/>
              </a:ext>
            </a:extLst>
          </xdr:cNvPr>
          <xdr:cNvGrpSpPr/>
        </xdr:nvGrpSpPr>
        <xdr:grpSpPr>
          <a:xfrm>
            <a:off x="2228850" y="2781300"/>
            <a:ext cx="10267950" cy="2876550"/>
            <a:chOff x="1771650" y="1066800"/>
            <a:chExt cx="5600700" cy="29432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84FFA38-8A8C-743B-6983-6A126CB2DFF9}"/>
                </a:ext>
              </a:extLst>
            </xdr:cNvPr>
            <xdr:cNvSpPr/>
          </xdr:nvSpPr>
          <xdr:spPr>
            <a:xfrm>
              <a:off x="1771650" y="1066800"/>
              <a:ext cx="5600700" cy="294322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2A8948A-9413-4077-9297-C2E23FD5C318}"/>
                </a:ext>
              </a:extLst>
            </xdr:cNvPr>
            <xdr:cNvGraphicFramePr>
              <a:graphicFrameLocks/>
            </xdr:cNvGraphicFramePr>
          </xdr:nvGraphicFramePr>
          <xdr:xfrm>
            <a:off x="1811395" y="1563835"/>
            <a:ext cx="5503805" cy="22630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B7BCB105-DDF8-44BE-8157-373B4651583F}"/>
              </a:ext>
            </a:extLst>
          </xdr:cNvPr>
          <xdr:cNvSpPr/>
        </xdr:nvSpPr>
        <xdr:spPr>
          <a:xfrm>
            <a:off x="2219325" y="2743925"/>
            <a:ext cx="10277475" cy="509937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+mn-cs"/>
              </a:rPr>
              <a:t>TOTAL </a:t>
            </a:r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400" b="0" i="0" u="none" strike="noStrike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+mn-cs"/>
              </a:rPr>
              <a:t> XBOX</a:t>
            </a:r>
            <a:r>
              <a:rPr lang="pt-BR" sz="1400" b="0" i="0" u="none" strike="noStrike" baseline="0">
                <a:solidFill>
                  <a:schemeClr val="bg1"/>
                </a:solidFill>
                <a:effectLst/>
                <a:latin typeface="Segoe UI Variable Text" pitchFamily="2" charset="0"/>
                <a:ea typeface="Segoe UI Black" panose="020B0A02040204020203" pitchFamily="34" charset="0"/>
                <a:cs typeface="+mn-cs"/>
              </a:rPr>
              <a:t> GAME PASS</a:t>
            </a:r>
            <a:r>
              <a:rPr lang="pt-BR" sz="1400">
                <a:solidFill>
                  <a:schemeClr val="bg1"/>
                </a:solidFill>
                <a:latin typeface="Segoe UI Variable Text" pitchFamily="2" charset="0"/>
                <a:ea typeface="Segoe UI Black" panose="020B0A02040204020203" pitchFamily="34" charset="0"/>
              </a:rPr>
              <a:t> </a:t>
            </a:r>
          </a:p>
        </xdr:txBody>
      </xdr:sp>
    </xdr:grpSp>
    <xdr:clientData/>
  </xdr:twoCellAnchor>
  <xdr:twoCellAnchor editAs="absolute">
    <xdr:from>
      <xdr:col>0</xdr:col>
      <xdr:colOff>681037</xdr:colOff>
      <xdr:row>0</xdr:row>
      <xdr:rowOff>76199</xdr:rowOff>
    </xdr:from>
    <xdr:to>
      <xdr:col>0</xdr:col>
      <xdr:colOff>1290637</xdr:colOff>
      <xdr:row>1</xdr:row>
      <xdr:rowOff>453389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3C87E1D5-AC7D-4CC3-BA56-8B42DB8DBB11}"/>
            </a:ext>
          </a:extLst>
        </xdr:cNvPr>
        <xdr:cNvSpPr/>
      </xdr:nvSpPr>
      <xdr:spPr>
        <a:xfrm>
          <a:off x="681037" y="76199"/>
          <a:ext cx="609600" cy="56007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0</xdr:rowOff>
    </xdr:from>
    <xdr:to>
      <xdr:col>0</xdr:col>
      <xdr:colOff>1628775</xdr:colOff>
      <xdr:row>4</xdr:row>
      <xdr:rowOff>28575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4DBA0C62-E7F4-EBC0-E57E-AC9358D2584E}"/>
            </a:ext>
          </a:extLst>
        </xdr:cNvPr>
        <xdr:cNvSpPr/>
      </xdr:nvSpPr>
      <xdr:spPr>
        <a:xfrm>
          <a:off x="0" y="676275"/>
          <a:ext cx="162877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&gt; Bem</a:t>
          </a:r>
          <a:r>
            <a:rPr lang="pt-BR" sz="1100" baseline="0"/>
            <a:t> vindo</a:t>
          </a:r>
          <a:r>
            <a:rPr lang="pt-BR" sz="1100"/>
            <a:t>, Marcos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" refreshedDate="46288.851499652781" createdVersion="8" refreshedVersion="8" minRefreshableVersion="3" recordCount="295" xr:uid="{5915B987-07EF-42EA-BF82-DC64BEBB41F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9381600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s v="Yes"/>
    <n v="20"/>
    <n v="5"/>
    <x v="0"/>
  </r>
  <r>
    <n v="3232"/>
    <s v="Maria Oliveira"/>
    <x v="1"/>
    <d v="2024-01-15T00:00:00"/>
    <x v="1"/>
    <x v="1"/>
    <x v="1"/>
    <x v="1"/>
    <x v="1"/>
    <s v="No"/>
    <n v="0"/>
    <n v="0"/>
    <x v="1"/>
  </r>
  <r>
    <n v="3233"/>
    <s v="Lucas Fernandes"/>
    <x v="2"/>
    <d v="2024-02-10T00:00:00"/>
    <x v="0"/>
    <x v="2"/>
    <x v="2"/>
    <x v="1"/>
    <x v="1"/>
    <s v="Yes"/>
    <n v="20"/>
    <n v="10"/>
    <x v="2"/>
  </r>
  <r>
    <n v="3234"/>
    <s v="Ana Souza"/>
    <x v="0"/>
    <d v="2024-02-20T00:00:00"/>
    <x v="1"/>
    <x v="0"/>
    <x v="0"/>
    <x v="0"/>
    <x v="0"/>
    <s v="Yes"/>
    <n v="20"/>
    <n v="3"/>
    <x v="3"/>
  </r>
  <r>
    <n v="3235"/>
    <s v="Pedro Gonçalves"/>
    <x v="1"/>
    <d v="2024-03-05T00:00:00"/>
    <x v="0"/>
    <x v="1"/>
    <x v="0"/>
    <x v="1"/>
    <x v="1"/>
    <s v="No"/>
    <n v="0"/>
    <n v="1"/>
    <x v="4"/>
  </r>
  <r>
    <n v="3236"/>
    <s v="Felipe Costa"/>
    <x v="2"/>
    <d v="2024-03-02T00:00:00"/>
    <x v="1"/>
    <x v="2"/>
    <x v="0"/>
    <x v="1"/>
    <x v="1"/>
    <s v="Yes"/>
    <n v="20"/>
    <n v="2"/>
    <x v="5"/>
  </r>
  <r>
    <n v="3237"/>
    <s v="Camila Ribeiro"/>
    <x v="0"/>
    <d v="2024-03-03T00:00:00"/>
    <x v="0"/>
    <x v="0"/>
    <x v="2"/>
    <x v="0"/>
    <x v="0"/>
    <s v="Yes"/>
    <n v="20"/>
    <n v="10"/>
    <x v="6"/>
  </r>
  <r>
    <n v="3238"/>
    <s v="André Mendes"/>
    <x v="1"/>
    <d v="2024-03-04T00:00:00"/>
    <x v="0"/>
    <x v="1"/>
    <x v="1"/>
    <x v="1"/>
    <x v="1"/>
    <s v="No"/>
    <n v="0"/>
    <n v="0"/>
    <x v="1"/>
  </r>
  <r>
    <n v="3239"/>
    <s v="Sofia Almeida"/>
    <x v="0"/>
    <d v="2024-03-05T00:00:00"/>
    <x v="1"/>
    <x v="0"/>
    <x v="0"/>
    <x v="0"/>
    <x v="0"/>
    <s v="Yes"/>
    <n v="20"/>
    <n v="5"/>
    <x v="0"/>
  </r>
  <r>
    <n v="3240"/>
    <s v="Bruno Martins"/>
    <x v="2"/>
    <d v="2024-03-06T00:00:00"/>
    <x v="0"/>
    <x v="2"/>
    <x v="2"/>
    <x v="1"/>
    <x v="1"/>
    <s v="Yes"/>
    <n v="20"/>
    <n v="15"/>
    <x v="7"/>
  </r>
  <r>
    <n v="3241"/>
    <s v="Rita Castro"/>
    <x v="1"/>
    <d v="2024-03-07T00:00:00"/>
    <x v="1"/>
    <x v="1"/>
    <x v="0"/>
    <x v="1"/>
    <x v="1"/>
    <s v="No"/>
    <n v="0"/>
    <n v="1"/>
    <x v="4"/>
  </r>
  <r>
    <n v="3242"/>
    <s v="Marco Túlio"/>
    <x v="0"/>
    <d v="2024-03-08T00:00:00"/>
    <x v="0"/>
    <x v="0"/>
    <x v="1"/>
    <x v="0"/>
    <x v="0"/>
    <s v="Yes"/>
    <n v="20"/>
    <n v="20"/>
    <x v="8"/>
  </r>
  <r>
    <n v="3243"/>
    <s v="Lívia Silveira"/>
    <x v="2"/>
    <d v="2024-03-09T00:00:00"/>
    <x v="1"/>
    <x v="2"/>
    <x v="0"/>
    <x v="1"/>
    <x v="1"/>
    <s v="Yes"/>
    <n v="20"/>
    <n v="10"/>
    <x v="2"/>
  </r>
  <r>
    <n v="3244"/>
    <s v="Diogo Sousa"/>
    <x v="1"/>
    <d v="2024-03-10T00:00:00"/>
    <x v="0"/>
    <x v="1"/>
    <x v="2"/>
    <x v="1"/>
    <x v="1"/>
    <s v="No"/>
    <n v="0"/>
    <n v="0"/>
    <x v="1"/>
  </r>
  <r>
    <n v="3245"/>
    <s v="Fernanda Lima"/>
    <x v="0"/>
    <d v="2024-03-11T00:00:00"/>
    <x v="1"/>
    <x v="0"/>
    <x v="0"/>
    <x v="0"/>
    <x v="0"/>
    <s v="Yes"/>
    <n v="20"/>
    <n v="8"/>
    <x v="9"/>
  </r>
  <r>
    <n v="3246"/>
    <s v="Caio Pereira"/>
    <x v="2"/>
    <d v="2024-03-12T00:00:00"/>
    <x v="0"/>
    <x v="2"/>
    <x v="1"/>
    <x v="1"/>
    <x v="1"/>
    <s v="Yes"/>
    <n v="20"/>
    <n v="12"/>
    <x v="10"/>
  </r>
  <r>
    <n v="3247"/>
    <s v="Beatriz Gomes"/>
    <x v="1"/>
    <d v="2024-03-13T00:00:00"/>
    <x v="1"/>
    <x v="1"/>
    <x v="0"/>
    <x v="1"/>
    <x v="1"/>
    <s v="No"/>
    <n v="0"/>
    <n v="2"/>
    <x v="11"/>
  </r>
  <r>
    <n v="3248"/>
    <s v="Cesar Oliveira"/>
    <x v="0"/>
    <d v="2024-03-14T00:00:00"/>
    <x v="0"/>
    <x v="0"/>
    <x v="2"/>
    <x v="0"/>
    <x v="0"/>
    <s v="Yes"/>
    <n v="20"/>
    <n v="7"/>
    <x v="12"/>
  </r>
  <r>
    <n v="3249"/>
    <s v="Débora Machado"/>
    <x v="2"/>
    <d v="2024-03-15T00:00:00"/>
    <x v="1"/>
    <x v="2"/>
    <x v="0"/>
    <x v="1"/>
    <x v="1"/>
    <s v="Yes"/>
    <n v="20"/>
    <n v="5"/>
    <x v="13"/>
  </r>
  <r>
    <n v="3250"/>
    <s v="Eduardo Vargas"/>
    <x v="1"/>
    <d v="2024-03-16T00:00:00"/>
    <x v="0"/>
    <x v="1"/>
    <x v="1"/>
    <x v="1"/>
    <x v="1"/>
    <s v="No"/>
    <n v="0"/>
    <n v="0"/>
    <x v="1"/>
  </r>
  <r>
    <n v="3251"/>
    <s v="Gabriela Santos"/>
    <x v="0"/>
    <d v="2024-03-17T00:00:00"/>
    <x v="1"/>
    <x v="0"/>
    <x v="0"/>
    <x v="0"/>
    <x v="0"/>
    <s v="Yes"/>
    <n v="20"/>
    <n v="3"/>
    <x v="3"/>
  </r>
  <r>
    <n v="3252"/>
    <s v="Henrique Dias"/>
    <x v="2"/>
    <d v="2024-03-18T00:00:00"/>
    <x v="0"/>
    <x v="2"/>
    <x v="2"/>
    <x v="1"/>
    <x v="1"/>
    <s v="Yes"/>
    <n v="20"/>
    <n v="15"/>
    <x v="7"/>
  </r>
  <r>
    <n v="3253"/>
    <s v="Isabela Moreira"/>
    <x v="1"/>
    <d v="2024-03-19T00:00:00"/>
    <x v="1"/>
    <x v="1"/>
    <x v="0"/>
    <x v="1"/>
    <x v="1"/>
    <s v="No"/>
    <n v="0"/>
    <n v="1"/>
    <x v="4"/>
  </r>
  <r>
    <n v="3254"/>
    <s v="Joaquim Barbosa"/>
    <x v="0"/>
    <d v="2024-03-20T00:00:00"/>
    <x v="0"/>
    <x v="0"/>
    <x v="1"/>
    <x v="0"/>
    <x v="0"/>
    <s v="Yes"/>
    <n v="20"/>
    <n v="20"/>
    <x v="8"/>
  </r>
  <r>
    <n v="3255"/>
    <s v="Lara Rocha"/>
    <x v="2"/>
    <d v="2024-03-21T00:00:00"/>
    <x v="1"/>
    <x v="2"/>
    <x v="0"/>
    <x v="1"/>
    <x v="1"/>
    <s v="Yes"/>
    <n v="20"/>
    <n v="10"/>
    <x v="2"/>
  </r>
  <r>
    <n v="3256"/>
    <s v="Matheus Silva"/>
    <x v="1"/>
    <d v="2024-03-22T00:00:00"/>
    <x v="0"/>
    <x v="1"/>
    <x v="2"/>
    <x v="1"/>
    <x v="1"/>
    <s v="No"/>
    <n v="0"/>
    <n v="0"/>
    <x v="1"/>
  </r>
  <r>
    <n v="3257"/>
    <s v="Nicole Costa"/>
    <x v="0"/>
    <d v="2024-03-23T00:00:00"/>
    <x v="1"/>
    <x v="0"/>
    <x v="0"/>
    <x v="0"/>
    <x v="0"/>
    <s v="Yes"/>
    <n v="20"/>
    <n v="5"/>
    <x v="0"/>
  </r>
  <r>
    <n v="3258"/>
    <s v="Otávio Mendonça"/>
    <x v="2"/>
    <d v="2024-03-24T00:00:00"/>
    <x v="0"/>
    <x v="2"/>
    <x v="1"/>
    <x v="1"/>
    <x v="1"/>
    <s v="Yes"/>
    <n v="20"/>
    <n v="15"/>
    <x v="7"/>
  </r>
  <r>
    <n v="3259"/>
    <s v="Paula Ferreira"/>
    <x v="1"/>
    <d v="2024-03-25T00:00:00"/>
    <x v="1"/>
    <x v="1"/>
    <x v="0"/>
    <x v="1"/>
    <x v="1"/>
    <s v="No"/>
    <n v="0"/>
    <n v="1"/>
    <x v="4"/>
  </r>
  <r>
    <n v="3260"/>
    <s v="Raquel Alves"/>
    <x v="0"/>
    <d v="2024-03-26T00:00:00"/>
    <x v="0"/>
    <x v="0"/>
    <x v="2"/>
    <x v="0"/>
    <x v="0"/>
    <s v="Yes"/>
    <n v="20"/>
    <n v="7"/>
    <x v="12"/>
  </r>
  <r>
    <n v="3261"/>
    <s v="Samuel Pires"/>
    <x v="2"/>
    <d v="2024-03-27T00:00:00"/>
    <x v="1"/>
    <x v="2"/>
    <x v="0"/>
    <x v="1"/>
    <x v="1"/>
    <s v="Yes"/>
    <n v="20"/>
    <n v="10"/>
    <x v="2"/>
  </r>
  <r>
    <n v="3262"/>
    <s v="Tânia Barros"/>
    <x v="1"/>
    <d v="2024-03-28T00:00:00"/>
    <x v="0"/>
    <x v="1"/>
    <x v="1"/>
    <x v="1"/>
    <x v="1"/>
    <s v="No"/>
    <n v="0"/>
    <n v="0"/>
    <x v="1"/>
  </r>
  <r>
    <n v="3263"/>
    <s v="Vinicius Lima"/>
    <x v="0"/>
    <d v="2024-03-29T00:00:00"/>
    <x v="1"/>
    <x v="0"/>
    <x v="0"/>
    <x v="0"/>
    <x v="0"/>
    <s v="Yes"/>
    <n v="20"/>
    <n v="3"/>
    <x v="3"/>
  </r>
  <r>
    <n v="3264"/>
    <s v="Yasmin Teixeira"/>
    <x v="2"/>
    <d v="2024-03-30T00:00:00"/>
    <x v="0"/>
    <x v="2"/>
    <x v="2"/>
    <x v="1"/>
    <x v="1"/>
    <s v="Yes"/>
    <n v="20"/>
    <n v="15"/>
    <x v="7"/>
  </r>
  <r>
    <n v="3265"/>
    <s v="Zé Carlos"/>
    <x v="1"/>
    <d v="2024-03-31T00:00:00"/>
    <x v="1"/>
    <x v="1"/>
    <x v="0"/>
    <x v="1"/>
    <x v="1"/>
    <s v="No"/>
    <n v="0"/>
    <n v="1"/>
    <x v="4"/>
  </r>
  <r>
    <n v="3266"/>
    <s v="Amanda Nogueira"/>
    <x v="1"/>
    <d v="2024-04-01T00:00:00"/>
    <x v="0"/>
    <x v="1"/>
    <x v="0"/>
    <x v="1"/>
    <x v="1"/>
    <s v="No"/>
    <n v="0"/>
    <n v="0"/>
    <x v="1"/>
  </r>
  <r>
    <n v="3267"/>
    <s v="Bruno Cavalheiro"/>
    <x v="0"/>
    <d v="2024-04-02T00:00:00"/>
    <x v="1"/>
    <x v="0"/>
    <x v="2"/>
    <x v="0"/>
    <x v="0"/>
    <s v="Yes"/>
    <n v="20"/>
    <n v="7"/>
    <x v="12"/>
  </r>
  <r>
    <n v="3268"/>
    <s v="Carla Dias"/>
    <x v="2"/>
    <d v="2024-04-03T00:00:00"/>
    <x v="0"/>
    <x v="2"/>
    <x v="1"/>
    <x v="1"/>
    <x v="1"/>
    <s v="Yes"/>
    <n v="20"/>
    <n v="10"/>
    <x v="2"/>
  </r>
  <r>
    <n v="3269"/>
    <s v="Diego Fontes"/>
    <x v="1"/>
    <d v="2024-04-04T00:00:00"/>
    <x v="1"/>
    <x v="1"/>
    <x v="2"/>
    <x v="1"/>
    <x v="1"/>
    <s v="No"/>
    <n v="0"/>
    <n v="1"/>
    <x v="4"/>
  </r>
  <r>
    <n v="3270"/>
    <s v="Eunice Lima"/>
    <x v="0"/>
    <d v="2024-04-05T00:00:00"/>
    <x v="0"/>
    <x v="0"/>
    <x v="0"/>
    <x v="0"/>
    <x v="0"/>
    <s v="Yes"/>
    <n v="20"/>
    <n v="15"/>
    <x v="14"/>
  </r>
  <r>
    <n v="3271"/>
    <s v="Fábio Martins"/>
    <x v="2"/>
    <d v="2024-04-06T00:00:00"/>
    <x v="1"/>
    <x v="2"/>
    <x v="0"/>
    <x v="1"/>
    <x v="1"/>
    <s v="Yes"/>
    <n v="20"/>
    <n v="5"/>
    <x v="13"/>
  </r>
  <r>
    <n v="3272"/>
    <s v="Gisele Araújo"/>
    <x v="1"/>
    <d v="2024-04-07T00:00:00"/>
    <x v="0"/>
    <x v="1"/>
    <x v="1"/>
    <x v="1"/>
    <x v="1"/>
    <s v="No"/>
    <n v="0"/>
    <n v="0"/>
    <x v="1"/>
  </r>
  <r>
    <n v="3273"/>
    <s v="Hélio Castro"/>
    <x v="0"/>
    <d v="2024-04-08T00:00:00"/>
    <x v="1"/>
    <x v="0"/>
    <x v="2"/>
    <x v="0"/>
    <x v="0"/>
    <s v="Yes"/>
    <n v="20"/>
    <n v="20"/>
    <x v="8"/>
  </r>
  <r>
    <n v="3274"/>
    <s v="Ingrid Menezes"/>
    <x v="2"/>
    <d v="2024-04-09T00:00:00"/>
    <x v="0"/>
    <x v="2"/>
    <x v="2"/>
    <x v="1"/>
    <x v="1"/>
    <s v="Yes"/>
    <n v="20"/>
    <n v="12"/>
    <x v="10"/>
  </r>
  <r>
    <n v="3275"/>
    <s v="Jorge Baptista"/>
    <x v="1"/>
    <d v="2024-04-10T00:00:00"/>
    <x v="1"/>
    <x v="1"/>
    <x v="0"/>
    <x v="1"/>
    <x v="1"/>
    <s v="No"/>
    <n v="0"/>
    <n v="2"/>
    <x v="11"/>
  </r>
  <r>
    <n v="3276"/>
    <s v="Kléber Oliveira"/>
    <x v="0"/>
    <d v="2024-04-11T00:00:00"/>
    <x v="0"/>
    <x v="0"/>
    <x v="1"/>
    <x v="0"/>
    <x v="0"/>
    <s v="Yes"/>
    <n v="20"/>
    <n v="5"/>
    <x v="0"/>
  </r>
  <r>
    <n v="3277"/>
    <s v="Luciana Freitas"/>
    <x v="2"/>
    <d v="2024-04-12T00:00:00"/>
    <x v="1"/>
    <x v="2"/>
    <x v="0"/>
    <x v="1"/>
    <x v="1"/>
    <s v="Yes"/>
    <n v="20"/>
    <n v="10"/>
    <x v="2"/>
  </r>
  <r>
    <n v="3278"/>
    <s v="Márcia Eller"/>
    <x v="1"/>
    <d v="2024-04-13T00:00:00"/>
    <x v="0"/>
    <x v="1"/>
    <x v="2"/>
    <x v="1"/>
    <x v="1"/>
    <s v="No"/>
    <n v="0"/>
    <n v="0"/>
    <x v="1"/>
  </r>
  <r>
    <n v="3279"/>
    <s v="Nilo Peçanha"/>
    <x v="0"/>
    <d v="2024-04-14T00:00:00"/>
    <x v="1"/>
    <x v="0"/>
    <x v="0"/>
    <x v="0"/>
    <x v="0"/>
    <s v="Yes"/>
    <n v="20"/>
    <n v="3"/>
    <x v="3"/>
  </r>
  <r>
    <n v="3280"/>
    <s v="Oscar Neves"/>
    <x v="2"/>
    <d v="2024-04-15T00:00:00"/>
    <x v="0"/>
    <x v="2"/>
    <x v="1"/>
    <x v="1"/>
    <x v="1"/>
    <s v="Yes"/>
    <n v="20"/>
    <n v="15"/>
    <x v="7"/>
  </r>
  <r>
    <n v="3281"/>
    <s v="Patrícia Soares"/>
    <x v="1"/>
    <d v="2024-04-16T00:00:00"/>
    <x v="1"/>
    <x v="1"/>
    <x v="0"/>
    <x v="1"/>
    <x v="1"/>
    <s v="No"/>
    <n v="0"/>
    <n v="1"/>
    <x v="4"/>
  </r>
  <r>
    <n v="3282"/>
    <s v="Quirino Gonçalves"/>
    <x v="0"/>
    <d v="2024-04-17T00:00:00"/>
    <x v="0"/>
    <x v="0"/>
    <x v="2"/>
    <x v="0"/>
    <x v="0"/>
    <s v="Yes"/>
    <n v="20"/>
    <n v="7"/>
    <x v="12"/>
  </r>
  <r>
    <n v="3283"/>
    <s v="Raul Machado"/>
    <x v="2"/>
    <d v="2024-04-18T00:00:00"/>
    <x v="1"/>
    <x v="2"/>
    <x v="0"/>
    <x v="1"/>
    <x v="1"/>
    <s v="Yes"/>
    <n v="20"/>
    <n v="10"/>
    <x v="2"/>
  </r>
  <r>
    <n v="3284"/>
    <s v="Sônia Lobo"/>
    <x v="1"/>
    <d v="2024-04-19T00:00:00"/>
    <x v="0"/>
    <x v="1"/>
    <x v="1"/>
    <x v="1"/>
    <x v="1"/>
    <s v="No"/>
    <n v="0"/>
    <n v="0"/>
    <x v="1"/>
  </r>
  <r>
    <n v="3285"/>
    <s v="Tiago Ramos"/>
    <x v="0"/>
    <d v="2024-04-20T00:00:00"/>
    <x v="1"/>
    <x v="0"/>
    <x v="0"/>
    <x v="0"/>
    <x v="0"/>
    <s v="Yes"/>
    <n v="20"/>
    <n v="20"/>
    <x v="8"/>
  </r>
  <r>
    <n v="3286"/>
    <s v="Ugo Pires"/>
    <x v="2"/>
    <d v="2024-04-21T00:00:00"/>
    <x v="0"/>
    <x v="2"/>
    <x v="2"/>
    <x v="1"/>
    <x v="1"/>
    <s v="Yes"/>
    <n v="20"/>
    <n v="15"/>
    <x v="7"/>
  </r>
  <r>
    <n v="3287"/>
    <s v="Valéria Nobre"/>
    <x v="1"/>
    <d v="2024-04-22T00:00:00"/>
    <x v="1"/>
    <x v="1"/>
    <x v="0"/>
    <x v="1"/>
    <x v="1"/>
    <s v="No"/>
    <n v="0"/>
    <n v="1"/>
    <x v="4"/>
  </r>
  <r>
    <n v="3288"/>
    <s v="William Siqueira"/>
    <x v="0"/>
    <d v="2024-04-23T00:00:00"/>
    <x v="0"/>
    <x v="0"/>
    <x v="1"/>
    <x v="0"/>
    <x v="0"/>
    <s v="Yes"/>
    <n v="20"/>
    <n v="3"/>
    <x v="3"/>
  </r>
  <r>
    <n v="3289"/>
    <s v="Xuxa Meneghel"/>
    <x v="2"/>
    <d v="2024-04-24T00:00:00"/>
    <x v="1"/>
    <x v="2"/>
    <x v="0"/>
    <x v="1"/>
    <x v="1"/>
    <s v="Yes"/>
    <n v="20"/>
    <n v="10"/>
    <x v="2"/>
  </r>
  <r>
    <n v="3290"/>
    <s v="Yara Figueiredo"/>
    <x v="1"/>
    <d v="2024-04-25T00:00:00"/>
    <x v="0"/>
    <x v="1"/>
    <x v="2"/>
    <x v="1"/>
    <x v="1"/>
    <s v="No"/>
    <n v="0"/>
    <n v="0"/>
    <x v="1"/>
  </r>
  <r>
    <n v="3291"/>
    <s v="Zacarias Alves"/>
    <x v="0"/>
    <d v="2024-04-26T00:00:00"/>
    <x v="1"/>
    <x v="0"/>
    <x v="0"/>
    <x v="0"/>
    <x v="0"/>
    <s v="Yes"/>
    <n v="20"/>
    <n v="5"/>
    <x v="0"/>
  </r>
  <r>
    <n v="3292"/>
    <s v="Amanda Bynes"/>
    <x v="2"/>
    <d v="2024-04-27T00:00:00"/>
    <x v="0"/>
    <x v="2"/>
    <x v="1"/>
    <x v="1"/>
    <x v="1"/>
    <s v="Yes"/>
    <n v="20"/>
    <n v="15"/>
    <x v="7"/>
  </r>
  <r>
    <n v="3293"/>
    <s v="Bruno Mars"/>
    <x v="1"/>
    <d v="2024-04-28T00:00:00"/>
    <x v="1"/>
    <x v="1"/>
    <x v="0"/>
    <x v="1"/>
    <x v="1"/>
    <s v="No"/>
    <n v="0"/>
    <n v="1"/>
    <x v="4"/>
  </r>
  <r>
    <n v="3294"/>
    <s v="Carla Bruni"/>
    <x v="0"/>
    <d v="2024-04-29T00:00:00"/>
    <x v="0"/>
    <x v="0"/>
    <x v="2"/>
    <x v="0"/>
    <x v="0"/>
    <s v="Yes"/>
    <n v="20"/>
    <n v="20"/>
    <x v="8"/>
  </r>
  <r>
    <n v="3295"/>
    <s v="Diego Maradona"/>
    <x v="2"/>
    <d v="2024-04-30T00:00:00"/>
    <x v="1"/>
    <x v="2"/>
    <x v="0"/>
    <x v="1"/>
    <x v="1"/>
    <s v="Yes"/>
    <n v="20"/>
    <n v="5"/>
    <x v="13"/>
  </r>
  <r>
    <n v="3296"/>
    <s v="Estela Marques"/>
    <x v="1"/>
    <d v="2024-05-01T00:00:00"/>
    <x v="1"/>
    <x v="1"/>
    <x v="0"/>
    <x v="1"/>
    <x v="1"/>
    <s v="No"/>
    <n v="0"/>
    <n v="0"/>
    <x v="1"/>
  </r>
  <r>
    <n v="3297"/>
    <s v="Fábio Nobre"/>
    <x v="0"/>
    <d v="2024-05-02T00:00:00"/>
    <x v="0"/>
    <x v="0"/>
    <x v="2"/>
    <x v="0"/>
    <x v="0"/>
    <s v="Yes"/>
    <n v="20"/>
    <n v="7"/>
    <x v="12"/>
  </r>
  <r>
    <n v="3298"/>
    <s v="Gabriel Oliveira"/>
    <x v="2"/>
    <d v="2024-05-03T00:00:00"/>
    <x v="1"/>
    <x v="2"/>
    <x v="1"/>
    <x v="1"/>
    <x v="1"/>
    <s v="Yes"/>
    <n v="20"/>
    <n v="10"/>
    <x v="2"/>
  </r>
  <r>
    <n v="3299"/>
    <s v="Helena Santos"/>
    <x v="1"/>
    <d v="2024-05-04T00:00:00"/>
    <x v="0"/>
    <x v="1"/>
    <x v="2"/>
    <x v="1"/>
    <x v="1"/>
    <s v="No"/>
    <n v="0"/>
    <n v="1"/>
    <x v="4"/>
  </r>
  <r>
    <n v="3300"/>
    <s v="Ivan Carvalho"/>
    <x v="0"/>
    <d v="2024-05-05T00:00:00"/>
    <x v="1"/>
    <x v="0"/>
    <x v="0"/>
    <x v="0"/>
    <x v="0"/>
    <s v="Yes"/>
    <n v="20"/>
    <n v="15"/>
    <x v="14"/>
  </r>
  <r>
    <n v="3301"/>
    <s v="Júlia Ferreira"/>
    <x v="2"/>
    <d v="2024-05-06T00:00:00"/>
    <x v="0"/>
    <x v="2"/>
    <x v="0"/>
    <x v="1"/>
    <x v="1"/>
    <s v="Yes"/>
    <n v="20"/>
    <n v="5"/>
    <x v="13"/>
  </r>
  <r>
    <n v="3302"/>
    <s v="Karla Alves"/>
    <x v="1"/>
    <d v="2024-05-07T00:00:00"/>
    <x v="1"/>
    <x v="1"/>
    <x v="1"/>
    <x v="1"/>
    <x v="1"/>
    <s v="No"/>
    <n v="0"/>
    <n v="0"/>
    <x v="1"/>
  </r>
  <r>
    <n v="3303"/>
    <s v="Lucas Mendes"/>
    <x v="0"/>
    <d v="2024-05-08T00:00:00"/>
    <x v="0"/>
    <x v="0"/>
    <x v="2"/>
    <x v="0"/>
    <x v="0"/>
    <s v="Yes"/>
    <n v="20"/>
    <n v="20"/>
    <x v="8"/>
  </r>
  <r>
    <n v="3304"/>
    <s v="Mônica Gomes"/>
    <x v="2"/>
    <d v="2024-05-09T00:00:00"/>
    <x v="1"/>
    <x v="2"/>
    <x v="2"/>
    <x v="1"/>
    <x v="1"/>
    <s v="Yes"/>
    <n v="20"/>
    <n v="12"/>
    <x v="10"/>
  </r>
  <r>
    <n v="3305"/>
    <s v="Norberto Queiroz"/>
    <x v="1"/>
    <d v="2024-05-10T00:00:00"/>
    <x v="0"/>
    <x v="1"/>
    <x v="0"/>
    <x v="1"/>
    <x v="1"/>
    <s v="No"/>
    <n v="0"/>
    <n v="2"/>
    <x v="11"/>
  </r>
  <r>
    <n v="3306"/>
    <s v="Otávio Barros"/>
    <x v="0"/>
    <d v="2024-05-11T00:00:00"/>
    <x v="1"/>
    <x v="0"/>
    <x v="1"/>
    <x v="0"/>
    <x v="0"/>
    <s v="Yes"/>
    <n v="20"/>
    <n v="5"/>
    <x v="0"/>
  </r>
  <r>
    <n v="3307"/>
    <s v="Paula Vieira"/>
    <x v="2"/>
    <d v="2024-05-12T00:00:00"/>
    <x v="0"/>
    <x v="2"/>
    <x v="0"/>
    <x v="1"/>
    <x v="1"/>
    <s v="Yes"/>
    <n v="20"/>
    <n v="10"/>
    <x v="2"/>
  </r>
  <r>
    <n v="3308"/>
    <s v="Quentin Ramos"/>
    <x v="1"/>
    <d v="2024-05-13T00:00:00"/>
    <x v="1"/>
    <x v="1"/>
    <x v="2"/>
    <x v="1"/>
    <x v="1"/>
    <s v="No"/>
    <n v="0"/>
    <n v="0"/>
    <x v="1"/>
  </r>
  <r>
    <n v="3309"/>
    <s v="Raquel Novaes"/>
    <x v="0"/>
    <d v="2024-05-14T00:00:00"/>
    <x v="0"/>
    <x v="0"/>
    <x v="0"/>
    <x v="0"/>
    <x v="0"/>
    <s v="Yes"/>
    <n v="20"/>
    <n v="3"/>
    <x v="3"/>
  </r>
  <r>
    <n v="3310"/>
    <s v="Samantha Lopes"/>
    <x v="2"/>
    <d v="2024-05-15T00:00:00"/>
    <x v="1"/>
    <x v="2"/>
    <x v="1"/>
    <x v="1"/>
    <x v="1"/>
    <s v="Yes"/>
    <n v="20"/>
    <n v="15"/>
    <x v="7"/>
  </r>
  <r>
    <n v="3311"/>
    <s v="Tiago Martins"/>
    <x v="1"/>
    <d v="2024-05-16T00:00:00"/>
    <x v="0"/>
    <x v="1"/>
    <x v="0"/>
    <x v="1"/>
    <x v="1"/>
    <s v="No"/>
    <n v="0"/>
    <n v="1"/>
    <x v="4"/>
  </r>
  <r>
    <n v="3312"/>
    <s v="Ulysses Guimarães"/>
    <x v="0"/>
    <d v="2024-05-17T00:00:00"/>
    <x v="1"/>
    <x v="0"/>
    <x v="2"/>
    <x v="0"/>
    <x v="0"/>
    <s v="Yes"/>
    <n v="20"/>
    <n v="7"/>
    <x v="12"/>
  </r>
  <r>
    <n v="3313"/>
    <s v="Vanessa Silva"/>
    <x v="2"/>
    <d v="2024-05-18T00:00:00"/>
    <x v="0"/>
    <x v="2"/>
    <x v="0"/>
    <x v="1"/>
    <x v="1"/>
    <s v="Yes"/>
    <n v="20"/>
    <n v="10"/>
    <x v="2"/>
  </r>
  <r>
    <n v="3314"/>
    <s v="William Carneiro"/>
    <x v="1"/>
    <d v="2024-05-19T00:00:00"/>
    <x v="1"/>
    <x v="1"/>
    <x v="1"/>
    <x v="1"/>
    <x v="1"/>
    <s v="No"/>
    <n v="0"/>
    <n v="0"/>
    <x v="1"/>
  </r>
  <r>
    <n v="3315"/>
    <s v="Ximena Rocha"/>
    <x v="0"/>
    <d v="2024-05-20T00:00:00"/>
    <x v="0"/>
    <x v="0"/>
    <x v="0"/>
    <x v="0"/>
    <x v="0"/>
    <s v="Yes"/>
    <n v="20"/>
    <n v="20"/>
    <x v="8"/>
  </r>
  <r>
    <n v="3316"/>
    <s v="Yasmin Figueiredo"/>
    <x v="2"/>
    <d v="2024-05-21T00:00:00"/>
    <x v="1"/>
    <x v="2"/>
    <x v="2"/>
    <x v="1"/>
    <x v="1"/>
    <s v="Yes"/>
    <n v="20"/>
    <n v="15"/>
    <x v="7"/>
  </r>
  <r>
    <n v="3317"/>
    <s v="Zara Cunha"/>
    <x v="1"/>
    <d v="2024-05-22T00:00:00"/>
    <x v="0"/>
    <x v="1"/>
    <x v="0"/>
    <x v="1"/>
    <x v="1"/>
    <s v="No"/>
    <n v="0"/>
    <n v="1"/>
    <x v="4"/>
  </r>
  <r>
    <n v="3318"/>
    <s v="Alan Teixeira"/>
    <x v="0"/>
    <d v="2024-05-23T00:00:00"/>
    <x v="1"/>
    <x v="0"/>
    <x v="1"/>
    <x v="0"/>
    <x v="0"/>
    <s v="Yes"/>
    <n v="20"/>
    <n v="3"/>
    <x v="3"/>
  </r>
  <r>
    <n v="3319"/>
    <s v="Bárbara Oliveira"/>
    <x v="2"/>
    <d v="2024-05-24T00:00:00"/>
    <x v="0"/>
    <x v="2"/>
    <x v="0"/>
    <x v="1"/>
    <x v="1"/>
    <s v="Yes"/>
    <n v="20"/>
    <n v="10"/>
    <x v="2"/>
  </r>
  <r>
    <n v="3320"/>
    <s v="Carlos Junqueira"/>
    <x v="1"/>
    <d v="2024-05-25T00:00:00"/>
    <x v="1"/>
    <x v="1"/>
    <x v="2"/>
    <x v="1"/>
    <x v="1"/>
    <s v="No"/>
    <n v="0"/>
    <n v="0"/>
    <x v="1"/>
  </r>
  <r>
    <n v="3321"/>
    <s v="Daniela Moura"/>
    <x v="0"/>
    <d v="2024-05-26T00:00:00"/>
    <x v="0"/>
    <x v="0"/>
    <x v="0"/>
    <x v="0"/>
    <x v="0"/>
    <s v="Yes"/>
    <n v="20"/>
    <n v="5"/>
    <x v="0"/>
  </r>
  <r>
    <n v="3322"/>
    <s v="Eduardo Lima"/>
    <x v="2"/>
    <d v="2024-05-27T00:00:00"/>
    <x v="1"/>
    <x v="2"/>
    <x v="1"/>
    <x v="1"/>
    <x v="1"/>
    <s v="Yes"/>
    <n v="20"/>
    <n v="15"/>
    <x v="7"/>
  </r>
  <r>
    <n v="3323"/>
    <s v="Fabiana Araújo"/>
    <x v="1"/>
    <d v="2024-05-28T00:00:00"/>
    <x v="0"/>
    <x v="1"/>
    <x v="0"/>
    <x v="1"/>
    <x v="1"/>
    <s v="No"/>
    <n v="0"/>
    <n v="1"/>
    <x v="4"/>
  </r>
  <r>
    <n v="3324"/>
    <s v="Geraldo Ribeiro"/>
    <x v="0"/>
    <d v="2024-05-29T00:00:00"/>
    <x v="1"/>
    <x v="0"/>
    <x v="2"/>
    <x v="0"/>
    <x v="0"/>
    <s v="Yes"/>
    <n v="20"/>
    <n v="20"/>
    <x v="8"/>
  </r>
  <r>
    <n v="3325"/>
    <s v="Héctor Vargas"/>
    <x v="2"/>
    <d v="2024-05-30T00:00:00"/>
    <x v="0"/>
    <x v="2"/>
    <x v="2"/>
    <x v="1"/>
    <x v="1"/>
    <s v="Yes"/>
    <n v="20"/>
    <n v="15"/>
    <x v="7"/>
  </r>
  <r>
    <n v="3326"/>
    <s v="Isabela Fonseca"/>
    <x v="1"/>
    <d v="2024-05-31T00:00:00"/>
    <x v="1"/>
    <x v="1"/>
    <x v="1"/>
    <x v="1"/>
    <x v="1"/>
    <s v="No"/>
    <n v="0"/>
    <n v="0"/>
    <x v="1"/>
  </r>
  <r>
    <n v="3327"/>
    <s v="João Pedro Almeida"/>
    <x v="0"/>
    <d v="2024-06-01T00:00:00"/>
    <x v="0"/>
    <x v="0"/>
    <x v="0"/>
    <x v="0"/>
    <x v="0"/>
    <s v="Yes"/>
    <n v="20"/>
    <n v="7"/>
    <x v="12"/>
  </r>
  <r>
    <n v="3328"/>
    <s v="Klara Costa"/>
    <x v="2"/>
    <d v="2024-06-02T00:00:00"/>
    <x v="1"/>
    <x v="2"/>
    <x v="1"/>
    <x v="1"/>
    <x v="1"/>
    <s v="Yes"/>
    <n v="20"/>
    <n v="10"/>
    <x v="2"/>
  </r>
  <r>
    <n v="3329"/>
    <s v="Luciana Mendes"/>
    <x v="1"/>
    <d v="2024-06-03T00:00:00"/>
    <x v="0"/>
    <x v="1"/>
    <x v="2"/>
    <x v="1"/>
    <x v="1"/>
    <s v="No"/>
    <n v="0"/>
    <n v="1"/>
    <x v="4"/>
  </r>
  <r>
    <n v="3330"/>
    <s v="Marcelo Gouveia"/>
    <x v="0"/>
    <d v="2024-06-04T00:00:00"/>
    <x v="1"/>
    <x v="0"/>
    <x v="0"/>
    <x v="0"/>
    <x v="0"/>
    <s v="Yes"/>
    <n v="20"/>
    <n v="15"/>
    <x v="14"/>
  </r>
  <r>
    <n v="3331"/>
    <s v="Nívea Borges"/>
    <x v="2"/>
    <d v="2024-06-05T00:00:00"/>
    <x v="0"/>
    <x v="2"/>
    <x v="0"/>
    <x v="1"/>
    <x v="1"/>
    <s v="Yes"/>
    <n v="20"/>
    <n v="5"/>
    <x v="13"/>
  </r>
  <r>
    <n v="3332"/>
    <s v="Oscar Nogueira"/>
    <x v="1"/>
    <d v="2024-06-06T00:00:00"/>
    <x v="1"/>
    <x v="1"/>
    <x v="1"/>
    <x v="1"/>
    <x v="1"/>
    <s v="No"/>
    <n v="0"/>
    <n v="0"/>
    <x v="1"/>
  </r>
  <r>
    <n v="3333"/>
    <s v="Patrícia Alves"/>
    <x v="0"/>
    <d v="2024-06-07T00:00:00"/>
    <x v="0"/>
    <x v="0"/>
    <x v="2"/>
    <x v="0"/>
    <x v="0"/>
    <s v="Yes"/>
    <n v="20"/>
    <n v="20"/>
    <x v="8"/>
  </r>
  <r>
    <n v="3334"/>
    <s v="Rafaela Silva"/>
    <x v="2"/>
    <d v="2024-06-08T00:00:00"/>
    <x v="1"/>
    <x v="2"/>
    <x v="2"/>
    <x v="1"/>
    <x v="1"/>
    <s v="Yes"/>
    <n v="20"/>
    <n v="12"/>
    <x v="10"/>
  </r>
  <r>
    <n v="3335"/>
    <s v="Samantha Moraes"/>
    <x v="1"/>
    <d v="2024-06-09T00:00:00"/>
    <x v="0"/>
    <x v="1"/>
    <x v="0"/>
    <x v="1"/>
    <x v="1"/>
    <s v="No"/>
    <n v="0"/>
    <n v="2"/>
    <x v="11"/>
  </r>
  <r>
    <n v="3336"/>
    <s v="Tatiana Rocha"/>
    <x v="1"/>
    <d v="2024-06-10T00:00:00"/>
    <x v="0"/>
    <x v="1"/>
    <x v="0"/>
    <x v="1"/>
    <x v="1"/>
    <s v="No"/>
    <n v="0"/>
    <n v="0"/>
    <x v="1"/>
  </r>
  <r>
    <n v="3337"/>
    <s v="Ulisses Tavares"/>
    <x v="0"/>
    <d v="2024-06-11T00:00:00"/>
    <x v="1"/>
    <x v="0"/>
    <x v="2"/>
    <x v="0"/>
    <x v="0"/>
    <s v="Yes"/>
    <n v="20"/>
    <n v="7"/>
    <x v="12"/>
  </r>
  <r>
    <n v="3338"/>
    <s v="Víctor Lemos"/>
    <x v="2"/>
    <d v="2024-06-12T00:00:00"/>
    <x v="0"/>
    <x v="2"/>
    <x v="1"/>
    <x v="1"/>
    <x v="1"/>
    <s v="Yes"/>
    <n v="20"/>
    <n v="10"/>
    <x v="2"/>
  </r>
  <r>
    <n v="3339"/>
    <s v="Wilma Barros"/>
    <x v="1"/>
    <d v="2024-06-13T00:00:00"/>
    <x v="1"/>
    <x v="1"/>
    <x v="2"/>
    <x v="1"/>
    <x v="1"/>
    <s v="No"/>
    <n v="0"/>
    <n v="1"/>
    <x v="4"/>
  </r>
  <r>
    <n v="3340"/>
    <s v="Xavier Nascimento"/>
    <x v="0"/>
    <d v="2024-06-14T00:00:00"/>
    <x v="0"/>
    <x v="0"/>
    <x v="0"/>
    <x v="0"/>
    <x v="0"/>
    <s v="Yes"/>
    <n v="20"/>
    <n v="15"/>
    <x v="14"/>
  </r>
  <r>
    <n v="3341"/>
    <s v="Yago Pereira"/>
    <x v="2"/>
    <d v="2024-06-15T00:00:00"/>
    <x v="1"/>
    <x v="2"/>
    <x v="0"/>
    <x v="1"/>
    <x v="1"/>
    <s v="Yes"/>
    <n v="20"/>
    <n v="5"/>
    <x v="13"/>
  </r>
  <r>
    <n v="3342"/>
    <s v="Zilda Ferreira"/>
    <x v="1"/>
    <d v="2024-06-16T00:00:00"/>
    <x v="0"/>
    <x v="1"/>
    <x v="1"/>
    <x v="1"/>
    <x v="1"/>
    <s v="No"/>
    <n v="0"/>
    <n v="0"/>
    <x v="1"/>
  </r>
  <r>
    <n v="3343"/>
    <s v="Amanda Lopes"/>
    <x v="0"/>
    <d v="2024-06-17T00:00:00"/>
    <x v="1"/>
    <x v="0"/>
    <x v="2"/>
    <x v="0"/>
    <x v="0"/>
    <s v="Yes"/>
    <n v="20"/>
    <n v="20"/>
    <x v="8"/>
  </r>
  <r>
    <n v="3344"/>
    <s v="Bruno Miranda"/>
    <x v="2"/>
    <d v="2024-06-18T00:00:00"/>
    <x v="0"/>
    <x v="2"/>
    <x v="2"/>
    <x v="1"/>
    <x v="1"/>
    <s v="Yes"/>
    <n v="20"/>
    <n v="12"/>
    <x v="10"/>
  </r>
  <r>
    <n v="3345"/>
    <s v="Célia Torres"/>
    <x v="1"/>
    <d v="2024-06-19T00:00:00"/>
    <x v="1"/>
    <x v="1"/>
    <x v="0"/>
    <x v="1"/>
    <x v="1"/>
    <s v="No"/>
    <n v="0"/>
    <n v="2"/>
    <x v="11"/>
  </r>
  <r>
    <n v="3346"/>
    <s v="Diogo Souza"/>
    <x v="0"/>
    <d v="2024-06-20T00:00:00"/>
    <x v="0"/>
    <x v="0"/>
    <x v="1"/>
    <x v="0"/>
    <x v="0"/>
    <s v="Yes"/>
    <n v="20"/>
    <n v="5"/>
    <x v="0"/>
  </r>
  <r>
    <n v="3347"/>
    <s v="Elisa Castro"/>
    <x v="2"/>
    <d v="2024-06-21T00:00:00"/>
    <x v="1"/>
    <x v="2"/>
    <x v="0"/>
    <x v="1"/>
    <x v="1"/>
    <s v="Yes"/>
    <n v="20"/>
    <n v="10"/>
    <x v="2"/>
  </r>
  <r>
    <n v="3348"/>
    <s v="Fátima Lima"/>
    <x v="1"/>
    <d v="2024-06-22T00:00:00"/>
    <x v="0"/>
    <x v="1"/>
    <x v="2"/>
    <x v="1"/>
    <x v="1"/>
    <s v="No"/>
    <n v="0"/>
    <n v="0"/>
    <x v="1"/>
  </r>
  <r>
    <n v="3349"/>
    <s v="Geraldo Ribeiro"/>
    <x v="0"/>
    <d v="2024-06-23T00:00:00"/>
    <x v="1"/>
    <x v="0"/>
    <x v="0"/>
    <x v="0"/>
    <x v="0"/>
    <s v="Yes"/>
    <n v="20"/>
    <n v="3"/>
    <x v="3"/>
  </r>
  <r>
    <n v="3350"/>
    <s v="Hélio Martins"/>
    <x v="2"/>
    <d v="2024-06-24T00:00:00"/>
    <x v="0"/>
    <x v="2"/>
    <x v="1"/>
    <x v="1"/>
    <x v="1"/>
    <s v="Yes"/>
    <n v="20"/>
    <n v="15"/>
    <x v="7"/>
  </r>
  <r>
    <n v="3351"/>
    <s v="Íris Santos"/>
    <x v="1"/>
    <d v="2024-06-25T00:00:00"/>
    <x v="1"/>
    <x v="1"/>
    <x v="0"/>
    <x v="1"/>
    <x v="1"/>
    <s v="No"/>
    <n v="0"/>
    <n v="1"/>
    <x v="4"/>
  </r>
  <r>
    <n v="3352"/>
    <s v="João Marcelo"/>
    <x v="0"/>
    <d v="2024-06-26T00:00:00"/>
    <x v="0"/>
    <x v="0"/>
    <x v="2"/>
    <x v="0"/>
    <x v="0"/>
    <s v="Yes"/>
    <n v="20"/>
    <n v="7"/>
    <x v="12"/>
  </r>
  <r>
    <n v="3353"/>
    <s v="Larissa Gomes"/>
    <x v="2"/>
    <d v="2024-06-27T00:00:00"/>
    <x v="1"/>
    <x v="2"/>
    <x v="0"/>
    <x v="1"/>
    <x v="1"/>
    <s v="Yes"/>
    <n v="20"/>
    <n v="10"/>
    <x v="2"/>
  </r>
  <r>
    <n v="3354"/>
    <s v="Márcio Silva"/>
    <x v="1"/>
    <d v="2024-06-28T00:00:00"/>
    <x v="0"/>
    <x v="1"/>
    <x v="1"/>
    <x v="1"/>
    <x v="1"/>
    <s v="No"/>
    <n v="0"/>
    <n v="0"/>
    <x v="1"/>
  </r>
  <r>
    <n v="3355"/>
    <s v="Nadia Costa"/>
    <x v="0"/>
    <d v="2024-06-29T00:00:00"/>
    <x v="1"/>
    <x v="0"/>
    <x v="0"/>
    <x v="0"/>
    <x v="0"/>
    <s v="Yes"/>
    <n v="20"/>
    <n v="20"/>
    <x v="8"/>
  </r>
  <r>
    <n v="3356"/>
    <s v="Oscar Almeida"/>
    <x v="2"/>
    <d v="2024-06-30T00:00:00"/>
    <x v="0"/>
    <x v="2"/>
    <x v="2"/>
    <x v="1"/>
    <x v="1"/>
    <s v="Yes"/>
    <n v="20"/>
    <n v="15"/>
    <x v="7"/>
  </r>
  <r>
    <n v="3357"/>
    <s v="Patricia Soares"/>
    <x v="1"/>
    <d v="2024-07-01T00:00:00"/>
    <x v="1"/>
    <x v="1"/>
    <x v="0"/>
    <x v="1"/>
    <x v="1"/>
    <s v="No"/>
    <n v="0"/>
    <n v="1"/>
    <x v="4"/>
  </r>
  <r>
    <n v="3358"/>
    <s v="Quênia Barros"/>
    <x v="0"/>
    <d v="2024-07-02T00:00:00"/>
    <x v="0"/>
    <x v="0"/>
    <x v="1"/>
    <x v="0"/>
    <x v="0"/>
    <s v="Yes"/>
    <n v="20"/>
    <n v="3"/>
    <x v="3"/>
  </r>
  <r>
    <n v="3359"/>
    <s v="Rafael Torres"/>
    <x v="2"/>
    <d v="2024-07-03T00:00:00"/>
    <x v="1"/>
    <x v="2"/>
    <x v="0"/>
    <x v="1"/>
    <x v="1"/>
    <s v="Yes"/>
    <n v="20"/>
    <n v="10"/>
    <x v="2"/>
  </r>
  <r>
    <n v="3360"/>
    <s v="Silvia Nascimento"/>
    <x v="1"/>
    <d v="2024-07-04T00:00:00"/>
    <x v="0"/>
    <x v="1"/>
    <x v="2"/>
    <x v="1"/>
    <x v="1"/>
    <s v="No"/>
    <n v="0"/>
    <n v="0"/>
    <x v="1"/>
  </r>
  <r>
    <n v="3361"/>
    <s v="Tiago Mendes"/>
    <x v="0"/>
    <d v="2024-07-05T00:00:00"/>
    <x v="1"/>
    <x v="0"/>
    <x v="0"/>
    <x v="0"/>
    <x v="0"/>
    <s v="Yes"/>
    <n v="20"/>
    <n v="15"/>
    <x v="14"/>
  </r>
  <r>
    <n v="3362"/>
    <s v="Ursula Silva"/>
    <x v="2"/>
    <d v="2024-07-06T00:00:00"/>
    <x v="0"/>
    <x v="2"/>
    <x v="1"/>
    <x v="1"/>
    <x v="1"/>
    <s v="Yes"/>
    <n v="20"/>
    <n v="15"/>
    <x v="7"/>
  </r>
  <r>
    <n v="3363"/>
    <s v="Vanessa Moraes"/>
    <x v="1"/>
    <d v="2024-07-07T00:00:00"/>
    <x v="1"/>
    <x v="1"/>
    <x v="0"/>
    <x v="1"/>
    <x v="1"/>
    <s v="No"/>
    <n v="0"/>
    <n v="1"/>
    <x v="4"/>
  </r>
  <r>
    <n v="3364"/>
    <s v="Waldir Junior"/>
    <x v="0"/>
    <d v="2024-07-08T00:00:00"/>
    <x v="0"/>
    <x v="0"/>
    <x v="2"/>
    <x v="0"/>
    <x v="0"/>
    <s v="Yes"/>
    <n v="20"/>
    <n v="7"/>
    <x v="12"/>
  </r>
  <r>
    <n v="3365"/>
    <s v="Xavier Lopes"/>
    <x v="2"/>
    <d v="2024-07-09T00:00:00"/>
    <x v="1"/>
    <x v="2"/>
    <x v="0"/>
    <x v="1"/>
    <x v="1"/>
    <s v="Yes"/>
    <n v="20"/>
    <n v="10"/>
    <x v="2"/>
  </r>
  <r>
    <n v="3366"/>
    <s v="Yolanda Freitas"/>
    <x v="1"/>
    <d v="2024-07-10T00:00:00"/>
    <x v="0"/>
    <x v="1"/>
    <x v="0"/>
    <x v="1"/>
    <x v="1"/>
    <s v="No"/>
    <n v="0"/>
    <n v="0"/>
    <x v="1"/>
  </r>
  <r>
    <n v="3367"/>
    <s v="Zacarias Nunes"/>
    <x v="0"/>
    <d v="2024-07-11T00:00:00"/>
    <x v="1"/>
    <x v="0"/>
    <x v="2"/>
    <x v="0"/>
    <x v="0"/>
    <s v="Yes"/>
    <n v="20"/>
    <n v="7"/>
    <x v="12"/>
  </r>
  <r>
    <n v="3368"/>
    <s v="Ana Clara Barreto"/>
    <x v="2"/>
    <d v="2024-07-12T00:00:00"/>
    <x v="0"/>
    <x v="2"/>
    <x v="1"/>
    <x v="1"/>
    <x v="1"/>
    <s v="Yes"/>
    <n v="20"/>
    <n v="10"/>
    <x v="2"/>
  </r>
  <r>
    <n v="3369"/>
    <s v="Bruno Henrique"/>
    <x v="1"/>
    <d v="2024-07-13T00:00:00"/>
    <x v="1"/>
    <x v="1"/>
    <x v="2"/>
    <x v="1"/>
    <x v="1"/>
    <s v="No"/>
    <n v="0"/>
    <n v="1"/>
    <x v="4"/>
  </r>
  <r>
    <n v="3370"/>
    <s v="Carlos Eduardo"/>
    <x v="0"/>
    <d v="2024-07-14T00:00:00"/>
    <x v="0"/>
    <x v="0"/>
    <x v="0"/>
    <x v="0"/>
    <x v="0"/>
    <s v="Yes"/>
    <n v="20"/>
    <n v="15"/>
    <x v="14"/>
  </r>
  <r>
    <n v="3371"/>
    <s v="Débora Lima"/>
    <x v="2"/>
    <d v="2024-07-15T00:00:00"/>
    <x v="1"/>
    <x v="2"/>
    <x v="0"/>
    <x v="1"/>
    <x v="1"/>
    <s v="Yes"/>
    <n v="20"/>
    <n v="5"/>
    <x v="13"/>
  </r>
  <r>
    <n v="3372"/>
    <s v="Elisa Neves"/>
    <x v="1"/>
    <d v="2024-07-16T00:00:00"/>
    <x v="0"/>
    <x v="1"/>
    <x v="1"/>
    <x v="1"/>
    <x v="1"/>
    <s v="No"/>
    <n v="0"/>
    <n v="0"/>
    <x v="1"/>
  </r>
  <r>
    <n v="3373"/>
    <s v="Fabiano Gomes"/>
    <x v="0"/>
    <d v="2024-07-17T00:00:00"/>
    <x v="1"/>
    <x v="0"/>
    <x v="2"/>
    <x v="0"/>
    <x v="0"/>
    <s v="Yes"/>
    <n v="20"/>
    <n v="20"/>
    <x v="8"/>
  </r>
  <r>
    <n v="3374"/>
    <s v="Gisele Oliveira"/>
    <x v="2"/>
    <d v="2024-07-18T00:00:00"/>
    <x v="0"/>
    <x v="2"/>
    <x v="2"/>
    <x v="1"/>
    <x v="1"/>
    <s v="Yes"/>
    <n v="20"/>
    <n v="12"/>
    <x v="10"/>
  </r>
  <r>
    <n v="3375"/>
    <s v="Héctor Silva"/>
    <x v="1"/>
    <d v="2024-07-19T00:00:00"/>
    <x v="1"/>
    <x v="1"/>
    <x v="0"/>
    <x v="1"/>
    <x v="1"/>
    <s v="No"/>
    <n v="0"/>
    <n v="2"/>
    <x v="11"/>
  </r>
  <r>
    <n v="3376"/>
    <s v="Igor Martins"/>
    <x v="0"/>
    <d v="2024-07-20T00:00:00"/>
    <x v="0"/>
    <x v="0"/>
    <x v="1"/>
    <x v="0"/>
    <x v="0"/>
    <s v="Yes"/>
    <n v="20"/>
    <n v="5"/>
    <x v="0"/>
  </r>
  <r>
    <n v="3377"/>
    <s v="Joana Figueiredo"/>
    <x v="2"/>
    <d v="2024-07-21T00:00:00"/>
    <x v="1"/>
    <x v="2"/>
    <x v="0"/>
    <x v="1"/>
    <x v="1"/>
    <s v="Yes"/>
    <n v="20"/>
    <n v="10"/>
    <x v="2"/>
  </r>
  <r>
    <n v="3378"/>
    <s v="Kleber Machado"/>
    <x v="1"/>
    <d v="2024-07-22T00:00:00"/>
    <x v="0"/>
    <x v="1"/>
    <x v="2"/>
    <x v="1"/>
    <x v="1"/>
    <s v="No"/>
    <n v="0"/>
    <n v="0"/>
    <x v="1"/>
  </r>
  <r>
    <n v="3379"/>
    <s v="Luciana Santos"/>
    <x v="0"/>
    <d v="2024-07-23T00:00:00"/>
    <x v="1"/>
    <x v="0"/>
    <x v="0"/>
    <x v="0"/>
    <x v="0"/>
    <s v="Yes"/>
    <n v="20"/>
    <n v="3"/>
    <x v="3"/>
  </r>
  <r>
    <n v="3380"/>
    <s v="Marcos Teixeira"/>
    <x v="2"/>
    <d v="2024-07-24T00:00:00"/>
    <x v="0"/>
    <x v="2"/>
    <x v="1"/>
    <x v="1"/>
    <x v="1"/>
    <s v="Yes"/>
    <n v="20"/>
    <n v="15"/>
    <x v="7"/>
  </r>
  <r>
    <n v="3381"/>
    <s v="Natalia Costa"/>
    <x v="1"/>
    <d v="2024-07-25T00:00:00"/>
    <x v="1"/>
    <x v="1"/>
    <x v="0"/>
    <x v="1"/>
    <x v="1"/>
    <s v="No"/>
    <n v="0"/>
    <n v="1"/>
    <x v="4"/>
  </r>
  <r>
    <n v="3382"/>
    <s v="Oscar Ribeiro"/>
    <x v="0"/>
    <d v="2024-07-26T00:00:00"/>
    <x v="0"/>
    <x v="0"/>
    <x v="2"/>
    <x v="0"/>
    <x v="0"/>
    <s v="Yes"/>
    <n v="20"/>
    <n v="7"/>
    <x v="12"/>
  </r>
  <r>
    <n v="3383"/>
    <s v="Patricia Almeida"/>
    <x v="2"/>
    <d v="2024-07-27T00:00:00"/>
    <x v="1"/>
    <x v="2"/>
    <x v="0"/>
    <x v="1"/>
    <x v="1"/>
    <s v="Yes"/>
    <n v="20"/>
    <n v="10"/>
    <x v="2"/>
  </r>
  <r>
    <n v="3384"/>
    <s v="Quirino Junior"/>
    <x v="1"/>
    <d v="2024-07-28T00:00:00"/>
    <x v="0"/>
    <x v="1"/>
    <x v="1"/>
    <x v="1"/>
    <x v="1"/>
    <s v="No"/>
    <n v="0"/>
    <n v="0"/>
    <x v="1"/>
  </r>
  <r>
    <n v="3385"/>
    <s v="Renata Machado"/>
    <x v="0"/>
    <d v="2024-07-29T00:00:00"/>
    <x v="1"/>
    <x v="0"/>
    <x v="0"/>
    <x v="0"/>
    <x v="0"/>
    <s v="Yes"/>
    <n v="20"/>
    <n v="20"/>
    <x v="8"/>
  </r>
  <r>
    <n v="3386"/>
    <s v="Sônia Alves"/>
    <x v="2"/>
    <d v="2024-07-30T00:00:00"/>
    <x v="0"/>
    <x v="2"/>
    <x v="2"/>
    <x v="1"/>
    <x v="1"/>
    <s v="Yes"/>
    <n v="20"/>
    <n v="15"/>
    <x v="7"/>
  </r>
  <r>
    <n v="3387"/>
    <s v="Tiago Nunes"/>
    <x v="1"/>
    <d v="2024-07-31T00:00:00"/>
    <x v="1"/>
    <x v="1"/>
    <x v="0"/>
    <x v="1"/>
    <x v="1"/>
    <s v="No"/>
    <n v="0"/>
    <n v="1"/>
    <x v="4"/>
  </r>
  <r>
    <n v="3388"/>
    <s v="Ulysses Pereira"/>
    <x v="0"/>
    <d v="2024-08-01T00:00:00"/>
    <x v="0"/>
    <x v="0"/>
    <x v="1"/>
    <x v="0"/>
    <x v="0"/>
    <s v="Yes"/>
    <n v="20"/>
    <n v="3"/>
    <x v="3"/>
  </r>
  <r>
    <n v="3389"/>
    <s v="Vanessa Lima"/>
    <x v="2"/>
    <d v="2024-08-02T00:00:00"/>
    <x v="1"/>
    <x v="2"/>
    <x v="0"/>
    <x v="1"/>
    <x v="1"/>
    <s v="Yes"/>
    <n v="20"/>
    <n v="10"/>
    <x v="2"/>
  </r>
  <r>
    <n v="3390"/>
    <s v="Wagner Santos"/>
    <x v="1"/>
    <d v="2024-08-03T00:00:00"/>
    <x v="0"/>
    <x v="1"/>
    <x v="2"/>
    <x v="1"/>
    <x v="1"/>
    <s v="No"/>
    <n v="0"/>
    <n v="0"/>
    <x v="1"/>
  </r>
  <r>
    <n v="3391"/>
    <s v="Xuxa Meneghel"/>
    <x v="0"/>
    <d v="2024-08-04T00:00:00"/>
    <x v="1"/>
    <x v="0"/>
    <x v="0"/>
    <x v="0"/>
    <x v="0"/>
    <s v="Yes"/>
    <n v="20"/>
    <n v="15"/>
    <x v="14"/>
  </r>
  <r>
    <n v="3392"/>
    <s v="Yasmin Silva"/>
    <x v="2"/>
    <d v="2024-08-05T00:00:00"/>
    <x v="0"/>
    <x v="2"/>
    <x v="1"/>
    <x v="1"/>
    <x v="1"/>
    <s v="Yes"/>
    <n v="20"/>
    <n v="15"/>
    <x v="7"/>
  </r>
  <r>
    <n v="3393"/>
    <s v="Zacarias de Souza"/>
    <x v="1"/>
    <d v="2024-08-06T00:00:00"/>
    <x v="1"/>
    <x v="1"/>
    <x v="0"/>
    <x v="1"/>
    <x v="1"/>
    <s v="No"/>
    <n v="0"/>
    <n v="1"/>
    <x v="4"/>
  </r>
  <r>
    <n v="3394"/>
    <s v="André Lima"/>
    <x v="0"/>
    <d v="2024-08-07T00:00:00"/>
    <x v="0"/>
    <x v="0"/>
    <x v="2"/>
    <x v="0"/>
    <x v="0"/>
    <s v="Yes"/>
    <n v="20"/>
    <n v="7"/>
    <x v="12"/>
  </r>
  <r>
    <n v="3395"/>
    <s v="Bianca Freitas"/>
    <x v="2"/>
    <d v="2024-08-08T00:00:00"/>
    <x v="1"/>
    <x v="2"/>
    <x v="0"/>
    <x v="1"/>
    <x v="1"/>
    <s v="Yes"/>
    <n v="20"/>
    <n v="10"/>
    <x v="2"/>
  </r>
  <r>
    <n v="3396"/>
    <s v="Caio Mendes"/>
    <x v="1"/>
    <d v="2024-08-09T00:00:00"/>
    <x v="0"/>
    <x v="1"/>
    <x v="1"/>
    <x v="1"/>
    <x v="1"/>
    <s v="No"/>
    <n v="0"/>
    <n v="0"/>
    <x v="1"/>
  </r>
  <r>
    <n v="3397"/>
    <s v="Daniela Moura"/>
    <x v="0"/>
    <d v="2024-08-10T00:00:00"/>
    <x v="1"/>
    <x v="0"/>
    <x v="0"/>
    <x v="0"/>
    <x v="0"/>
    <s v="Yes"/>
    <n v="20"/>
    <n v="20"/>
    <x v="8"/>
  </r>
  <r>
    <n v="3398"/>
    <s v="Eduardo Costa"/>
    <x v="2"/>
    <d v="2024-08-11T00:00:00"/>
    <x v="0"/>
    <x v="2"/>
    <x v="2"/>
    <x v="1"/>
    <x v="1"/>
    <s v="Yes"/>
    <n v="20"/>
    <n v="15"/>
    <x v="7"/>
  </r>
  <r>
    <n v="3399"/>
    <s v="Fernanda Gomes"/>
    <x v="1"/>
    <d v="2024-08-12T00:00:00"/>
    <x v="1"/>
    <x v="1"/>
    <x v="0"/>
    <x v="1"/>
    <x v="1"/>
    <s v="No"/>
    <n v="0"/>
    <n v="1"/>
    <x v="4"/>
  </r>
  <r>
    <n v="3400"/>
    <s v="Guilherme Souza"/>
    <x v="0"/>
    <d v="2024-08-13T00:00:00"/>
    <x v="0"/>
    <x v="0"/>
    <x v="1"/>
    <x v="0"/>
    <x v="0"/>
    <s v="Yes"/>
    <n v="20"/>
    <n v="5"/>
    <x v="0"/>
  </r>
  <r>
    <n v="3401"/>
    <s v="Helena Ribeiro"/>
    <x v="2"/>
    <d v="2024-08-14T00:00:00"/>
    <x v="1"/>
    <x v="2"/>
    <x v="0"/>
    <x v="1"/>
    <x v="1"/>
    <s v="Yes"/>
    <n v="20"/>
    <n v="10"/>
    <x v="2"/>
  </r>
  <r>
    <n v="3402"/>
    <s v="Igor Santos"/>
    <x v="1"/>
    <d v="2024-08-15T00:00:00"/>
    <x v="0"/>
    <x v="1"/>
    <x v="2"/>
    <x v="1"/>
    <x v="1"/>
    <s v="No"/>
    <n v="0"/>
    <n v="0"/>
    <x v="1"/>
  </r>
  <r>
    <n v="3403"/>
    <s v="João Carvalho"/>
    <x v="0"/>
    <d v="2024-08-16T00:00:00"/>
    <x v="1"/>
    <x v="0"/>
    <x v="0"/>
    <x v="0"/>
    <x v="0"/>
    <s v="Yes"/>
    <n v="20"/>
    <n v="3"/>
    <x v="3"/>
  </r>
  <r>
    <n v="3404"/>
    <s v="Klara Fagundes"/>
    <x v="2"/>
    <d v="2024-08-17T00:00:00"/>
    <x v="0"/>
    <x v="2"/>
    <x v="1"/>
    <x v="1"/>
    <x v="1"/>
    <s v="Yes"/>
    <n v="20"/>
    <n v="15"/>
    <x v="7"/>
  </r>
  <r>
    <n v="3405"/>
    <s v="Lúcia Mendonça"/>
    <x v="1"/>
    <d v="2024-08-18T00:00:00"/>
    <x v="1"/>
    <x v="1"/>
    <x v="0"/>
    <x v="1"/>
    <x v="1"/>
    <s v="No"/>
    <n v="0"/>
    <n v="1"/>
    <x v="4"/>
  </r>
  <r>
    <n v="3406"/>
    <s v="Marcelo Novaes"/>
    <x v="1"/>
    <d v="2024-08-19T00:00:00"/>
    <x v="0"/>
    <x v="1"/>
    <x v="0"/>
    <x v="1"/>
    <x v="1"/>
    <s v="No"/>
    <n v="0"/>
    <n v="0"/>
    <x v="1"/>
  </r>
  <r>
    <n v="3407"/>
    <s v="Nina Pacheco"/>
    <x v="0"/>
    <d v="2024-08-20T00:00:00"/>
    <x v="1"/>
    <x v="0"/>
    <x v="2"/>
    <x v="0"/>
    <x v="0"/>
    <s v="Yes"/>
    <n v="20"/>
    <n v="7"/>
    <x v="12"/>
  </r>
  <r>
    <n v="3408"/>
    <s v="Olívia Rios"/>
    <x v="2"/>
    <d v="2024-08-21T00:00:00"/>
    <x v="0"/>
    <x v="2"/>
    <x v="1"/>
    <x v="1"/>
    <x v="1"/>
    <s v="Yes"/>
    <n v="20"/>
    <n v="10"/>
    <x v="2"/>
  </r>
  <r>
    <n v="3409"/>
    <s v="Paulo Quintana"/>
    <x v="1"/>
    <d v="2024-08-22T00:00:00"/>
    <x v="1"/>
    <x v="1"/>
    <x v="2"/>
    <x v="1"/>
    <x v="1"/>
    <s v="No"/>
    <n v="0"/>
    <n v="1"/>
    <x v="4"/>
  </r>
  <r>
    <n v="3410"/>
    <s v="Raquel Domingos"/>
    <x v="0"/>
    <d v="2024-08-23T00:00:00"/>
    <x v="0"/>
    <x v="0"/>
    <x v="0"/>
    <x v="0"/>
    <x v="0"/>
    <s v="Yes"/>
    <n v="20"/>
    <n v="15"/>
    <x v="14"/>
  </r>
  <r>
    <n v="3411"/>
    <s v="Samuel Viana"/>
    <x v="2"/>
    <d v="2024-08-24T00:00:00"/>
    <x v="1"/>
    <x v="2"/>
    <x v="0"/>
    <x v="1"/>
    <x v="1"/>
    <s v="Yes"/>
    <n v="20"/>
    <n v="5"/>
    <x v="13"/>
  </r>
  <r>
    <n v="3412"/>
    <s v="Tatiane Rocha"/>
    <x v="1"/>
    <d v="2024-08-25T00:00:00"/>
    <x v="0"/>
    <x v="1"/>
    <x v="1"/>
    <x v="1"/>
    <x v="1"/>
    <s v="No"/>
    <n v="0"/>
    <n v="0"/>
    <x v="1"/>
  </r>
  <r>
    <n v="3413"/>
    <s v="Ulysses Farias"/>
    <x v="0"/>
    <d v="2024-08-26T00:00:00"/>
    <x v="1"/>
    <x v="0"/>
    <x v="2"/>
    <x v="0"/>
    <x v="0"/>
    <s v="Yes"/>
    <n v="20"/>
    <n v="20"/>
    <x v="8"/>
  </r>
  <r>
    <n v="3414"/>
    <s v="Vanessa Moreira"/>
    <x v="2"/>
    <d v="2024-08-27T00:00:00"/>
    <x v="0"/>
    <x v="2"/>
    <x v="2"/>
    <x v="1"/>
    <x v="1"/>
    <s v="Yes"/>
    <n v="20"/>
    <n v="12"/>
    <x v="10"/>
  </r>
  <r>
    <n v="3415"/>
    <s v="William Carvalho"/>
    <x v="1"/>
    <d v="2024-08-28T00:00:00"/>
    <x v="1"/>
    <x v="1"/>
    <x v="0"/>
    <x v="1"/>
    <x v="1"/>
    <s v="No"/>
    <n v="0"/>
    <n v="2"/>
    <x v="11"/>
  </r>
  <r>
    <n v="3416"/>
    <s v="Ximena Barros"/>
    <x v="0"/>
    <d v="2024-08-29T00:00:00"/>
    <x v="0"/>
    <x v="0"/>
    <x v="1"/>
    <x v="0"/>
    <x v="0"/>
    <s v="Yes"/>
    <n v="20"/>
    <n v="5"/>
    <x v="0"/>
  </r>
  <r>
    <n v="3417"/>
    <s v="Yara Machado"/>
    <x v="2"/>
    <d v="2024-08-30T00:00:00"/>
    <x v="1"/>
    <x v="2"/>
    <x v="0"/>
    <x v="1"/>
    <x v="1"/>
    <s v="Yes"/>
    <n v="20"/>
    <n v="10"/>
    <x v="2"/>
  </r>
  <r>
    <n v="3418"/>
    <s v="Zacarias Costa"/>
    <x v="1"/>
    <d v="2024-08-31T00:00:00"/>
    <x v="0"/>
    <x v="1"/>
    <x v="2"/>
    <x v="1"/>
    <x v="1"/>
    <s v="No"/>
    <n v="0"/>
    <n v="0"/>
    <x v="1"/>
  </r>
  <r>
    <n v="3419"/>
    <s v="André Lopes"/>
    <x v="0"/>
    <d v="2024-09-01T00:00:00"/>
    <x v="1"/>
    <x v="0"/>
    <x v="0"/>
    <x v="0"/>
    <x v="0"/>
    <s v="Yes"/>
    <n v="20"/>
    <n v="3"/>
    <x v="3"/>
  </r>
  <r>
    <n v="3420"/>
    <s v="Beatriz Souza"/>
    <x v="2"/>
    <d v="2024-09-02T00:00:00"/>
    <x v="0"/>
    <x v="2"/>
    <x v="1"/>
    <x v="1"/>
    <x v="1"/>
    <s v="Yes"/>
    <n v="20"/>
    <n v="15"/>
    <x v="7"/>
  </r>
  <r>
    <n v="3421"/>
    <s v="Caio Pereira"/>
    <x v="1"/>
    <d v="2024-09-03T00:00:00"/>
    <x v="1"/>
    <x v="1"/>
    <x v="0"/>
    <x v="1"/>
    <x v="1"/>
    <s v="No"/>
    <n v="0"/>
    <n v="1"/>
    <x v="4"/>
  </r>
  <r>
    <n v="3422"/>
    <s v="Daniela Araújo"/>
    <x v="0"/>
    <d v="2024-09-04T00:00:00"/>
    <x v="0"/>
    <x v="0"/>
    <x v="2"/>
    <x v="0"/>
    <x v="0"/>
    <s v="Yes"/>
    <n v="20"/>
    <n v="7"/>
    <x v="12"/>
  </r>
  <r>
    <n v="3423"/>
    <s v="Eduardo Santos"/>
    <x v="2"/>
    <d v="2024-09-05T00:00:00"/>
    <x v="1"/>
    <x v="2"/>
    <x v="0"/>
    <x v="1"/>
    <x v="1"/>
    <s v="Yes"/>
    <n v="20"/>
    <n v="10"/>
    <x v="2"/>
  </r>
  <r>
    <n v="3424"/>
    <s v="Fernanda Lima"/>
    <x v="1"/>
    <d v="2024-09-06T00:00:00"/>
    <x v="0"/>
    <x v="1"/>
    <x v="1"/>
    <x v="1"/>
    <x v="1"/>
    <s v="No"/>
    <n v="0"/>
    <n v="0"/>
    <x v="1"/>
  </r>
  <r>
    <n v="3425"/>
    <s v="Gabriel Teixeira"/>
    <x v="0"/>
    <d v="2024-09-07T00:00:00"/>
    <x v="1"/>
    <x v="0"/>
    <x v="0"/>
    <x v="0"/>
    <x v="0"/>
    <s v="Yes"/>
    <n v="20"/>
    <n v="20"/>
    <x v="8"/>
  </r>
  <r>
    <n v="3426"/>
    <s v="Helena Ribeiro"/>
    <x v="2"/>
    <d v="2024-09-08T00:00:00"/>
    <x v="0"/>
    <x v="2"/>
    <x v="2"/>
    <x v="1"/>
    <x v="1"/>
    <s v="Yes"/>
    <n v="20"/>
    <n v="15"/>
    <x v="7"/>
  </r>
  <r>
    <n v="3427"/>
    <s v="Igor Mendes"/>
    <x v="1"/>
    <d v="2024-09-09T00:00:00"/>
    <x v="1"/>
    <x v="1"/>
    <x v="0"/>
    <x v="1"/>
    <x v="1"/>
    <s v="No"/>
    <n v="0"/>
    <n v="1"/>
    <x v="4"/>
  </r>
  <r>
    <n v="3428"/>
    <s v="Joana Silveira"/>
    <x v="0"/>
    <d v="2024-09-10T00:00:00"/>
    <x v="0"/>
    <x v="0"/>
    <x v="1"/>
    <x v="0"/>
    <x v="0"/>
    <s v="Yes"/>
    <n v="20"/>
    <n v="3"/>
    <x v="3"/>
  </r>
  <r>
    <n v="3429"/>
    <s v="Lucas Martins"/>
    <x v="2"/>
    <d v="2024-09-11T00:00:00"/>
    <x v="1"/>
    <x v="2"/>
    <x v="0"/>
    <x v="1"/>
    <x v="1"/>
    <s v="Yes"/>
    <n v="20"/>
    <n v="10"/>
    <x v="2"/>
  </r>
  <r>
    <n v="3430"/>
    <s v="Marcela Gouveia"/>
    <x v="1"/>
    <d v="2024-09-12T00:00:00"/>
    <x v="0"/>
    <x v="1"/>
    <x v="2"/>
    <x v="1"/>
    <x v="1"/>
    <s v="No"/>
    <n v="0"/>
    <n v="0"/>
    <x v="1"/>
  </r>
  <r>
    <n v="3431"/>
    <s v="Nicolas Borges"/>
    <x v="0"/>
    <d v="2024-09-13T00:00:00"/>
    <x v="1"/>
    <x v="0"/>
    <x v="0"/>
    <x v="0"/>
    <x v="0"/>
    <s v="Yes"/>
    <n v="20"/>
    <n v="15"/>
    <x v="14"/>
  </r>
  <r>
    <n v="3432"/>
    <s v="Olivia Freitas"/>
    <x v="2"/>
    <d v="2024-09-14T00:00:00"/>
    <x v="0"/>
    <x v="2"/>
    <x v="1"/>
    <x v="1"/>
    <x v="1"/>
    <s v="Yes"/>
    <n v="20"/>
    <n v="15"/>
    <x v="7"/>
  </r>
  <r>
    <n v="3433"/>
    <s v="Paulo Nogueira"/>
    <x v="1"/>
    <d v="2024-09-15T00:00:00"/>
    <x v="1"/>
    <x v="1"/>
    <x v="0"/>
    <x v="1"/>
    <x v="1"/>
    <s v="No"/>
    <n v="0"/>
    <n v="1"/>
    <x v="4"/>
  </r>
  <r>
    <n v="3434"/>
    <s v="Raquel Andrade"/>
    <x v="0"/>
    <d v="2024-09-16T00:00:00"/>
    <x v="0"/>
    <x v="0"/>
    <x v="2"/>
    <x v="0"/>
    <x v="0"/>
    <s v="Yes"/>
    <n v="20"/>
    <n v="7"/>
    <x v="12"/>
  </r>
  <r>
    <n v="3435"/>
    <s v="Sônia Carvalho"/>
    <x v="2"/>
    <d v="2024-09-17T00:00:00"/>
    <x v="1"/>
    <x v="2"/>
    <x v="0"/>
    <x v="1"/>
    <x v="1"/>
    <s v="Yes"/>
    <n v="20"/>
    <n v="10"/>
    <x v="2"/>
  </r>
  <r>
    <n v="3436"/>
    <s v="Tiago Rodrigues"/>
    <x v="1"/>
    <d v="2024-09-18T00:00:00"/>
    <x v="0"/>
    <x v="1"/>
    <x v="0"/>
    <x v="1"/>
    <x v="1"/>
    <s v="No"/>
    <n v="0"/>
    <n v="0"/>
    <x v="1"/>
  </r>
  <r>
    <n v="3437"/>
    <s v="Ursula Monteiro"/>
    <x v="0"/>
    <d v="2024-09-19T00:00:00"/>
    <x v="1"/>
    <x v="0"/>
    <x v="2"/>
    <x v="0"/>
    <x v="0"/>
    <s v="Yes"/>
    <n v="20"/>
    <n v="7"/>
    <x v="12"/>
  </r>
  <r>
    <n v="3438"/>
    <s v="Vanessa Pereira"/>
    <x v="2"/>
    <d v="2024-09-20T00:00:00"/>
    <x v="0"/>
    <x v="2"/>
    <x v="1"/>
    <x v="1"/>
    <x v="1"/>
    <s v="Yes"/>
    <n v="20"/>
    <n v="10"/>
    <x v="2"/>
  </r>
  <r>
    <n v="3439"/>
    <s v="Walter Silva"/>
    <x v="1"/>
    <d v="2024-09-21T00:00:00"/>
    <x v="1"/>
    <x v="1"/>
    <x v="2"/>
    <x v="1"/>
    <x v="1"/>
    <s v="No"/>
    <n v="0"/>
    <n v="1"/>
    <x v="4"/>
  </r>
  <r>
    <n v="3440"/>
    <s v="Xavier Almeida"/>
    <x v="0"/>
    <d v="2024-09-22T00:00:00"/>
    <x v="0"/>
    <x v="0"/>
    <x v="0"/>
    <x v="0"/>
    <x v="0"/>
    <s v="Yes"/>
    <n v="20"/>
    <n v="15"/>
    <x v="14"/>
  </r>
  <r>
    <n v="3441"/>
    <s v="Yasmine Correia"/>
    <x v="2"/>
    <d v="2024-09-23T00:00:00"/>
    <x v="1"/>
    <x v="2"/>
    <x v="0"/>
    <x v="1"/>
    <x v="1"/>
    <s v="Yes"/>
    <n v="20"/>
    <n v="5"/>
    <x v="13"/>
  </r>
  <r>
    <n v="3442"/>
    <s v="Zacarias Almeida"/>
    <x v="1"/>
    <d v="2024-09-24T00:00:00"/>
    <x v="0"/>
    <x v="1"/>
    <x v="1"/>
    <x v="1"/>
    <x v="1"/>
    <s v="No"/>
    <n v="0"/>
    <n v="0"/>
    <x v="1"/>
  </r>
  <r>
    <n v="3443"/>
    <s v="Amanda Costa"/>
    <x v="0"/>
    <d v="2024-09-25T00:00:00"/>
    <x v="1"/>
    <x v="0"/>
    <x v="2"/>
    <x v="0"/>
    <x v="0"/>
    <s v="Yes"/>
    <n v="20"/>
    <n v="20"/>
    <x v="8"/>
  </r>
  <r>
    <n v="3444"/>
    <s v="Bruno Ferreira"/>
    <x v="2"/>
    <d v="2024-09-26T00:00:00"/>
    <x v="0"/>
    <x v="2"/>
    <x v="2"/>
    <x v="1"/>
    <x v="1"/>
    <s v="Yes"/>
    <n v="20"/>
    <n v="12"/>
    <x v="10"/>
  </r>
  <r>
    <n v="3445"/>
    <s v="Carla Dias"/>
    <x v="1"/>
    <d v="2024-09-27T00:00:00"/>
    <x v="1"/>
    <x v="1"/>
    <x v="0"/>
    <x v="1"/>
    <x v="1"/>
    <s v="No"/>
    <n v="0"/>
    <n v="2"/>
    <x v="11"/>
  </r>
  <r>
    <n v="3446"/>
    <s v="Diogo Martins"/>
    <x v="0"/>
    <d v="2024-09-28T00:00:00"/>
    <x v="0"/>
    <x v="0"/>
    <x v="1"/>
    <x v="0"/>
    <x v="0"/>
    <s v="Yes"/>
    <n v="20"/>
    <n v="5"/>
    <x v="0"/>
  </r>
  <r>
    <n v="3447"/>
    <s v="Elisa Campos"/>
    <x v="2"/>
    <d v="2024-09-29T00:00:00"/>
    <x v="1"/>
    <x v="2"/>
    <x v="0"/>
    <x v="1"/>
    <x v="1"/>
    <s v="Yes"/>
    <n v="20"/>
    <n v="10"/>
    <x v="2"/>
  </r>
  <r>
    <n v="3448"/>
    <s v="Fabiana Lima"/>
    <x v="1"/>
    <d v="2024-09-30T00:00:00"/>
    <x v="0"/>
    <x v="1"/>
    <x v="2"/>
    <x v="1"/>
    <x v="1"/>
    <s v="No"/>
    <n v="0"/>
    <n v="0"/>
    <x v="1"/>
  </r>
  <r>
    <n v="3449"/>
    <s v="Gabriel Santos"/>
    <x v="0"/>
    <d v="2024-10-01T00:00:00"/>
    <x v="1"/>
    <x v="0"/>
    <x v="0"/>
    <x v="0"/>
    <x v="0"/>
    <s v="Yes"/>
    <n v="20"/>
    <n v="3"/>
    <x v="3"/>
  </r>
  <r>
    <n v="3450"/>
    <s v="Helena Ferreira"/>
    <x v="2"/>
    <d v="2024-10-02T00:00:00"/>
    <x v="0"/>
    <x v="2"/>
    <x v="1"/>
    <x v="1"/>
    <x v="1"/>
    <s v="Yes"/>
    <n v="20"/>
    <n v="15"/>
    <x v="7"/>
  </r>
  <r>
    <n v="3451"/>
    <s v="Ígor Nunes"/>
    <x v="1"/>
    <d v="2024-10-03T00:00:00"/>
    <x v="1"/>
    <x v="1"/>
    <x v="0"/>
    <x v="1"/>
    <x v="1"/>
    <s v="No"/>
    <n v="0"/>
    <n v="1"/>
    <x v="4"/>
  </r>
  <r>
    <n v="3452"/>
    <s v="Joana Silveira"/>
    <x v="0"/>
    <d v="2024-10-04T00:00:00"/>
    <x v="0"/>
    <x v="0"/>
    <x v="2"/>
    <x v="0"/>
    <x v="0"/>
    <s v="Yes"/>
    <n v="20"/>
    <n v="7"/>
    <x v="12"/>
  </r>
  <r>
    <n v="3453"/>
    <s v="Kléber Oliveira"/>
    <x v="2"/>
    <d v="2024-10-05T00:00:00"/>
    <x v="1"/>
    <x v="2"/>
    <x v="0"/>
    <x v="1"/>
    <x v="1"/>
    <s v="Yes"/>
    <n v="20"/>
    <n v="10"/>
    <x v="2"/>
  </r>
  <r>
    <n v="3454"/>
    <s v="Luciana Morais"/>
    <x v="1"/>
    <d v="2024-10-06T00:00:00"/>
    <x v="0"/>
    <x v="1"/>
    <x v="1"/>
    <x v="1"/>
    <x v="1"/>
    <s v="No"/>
    <n v="0"/>
    <n v="0"/>
    <x v="1"/>
  </r>
  <r>
    <n v="3455"/>
    <s v="Marcos Vinícius"/>
    <x v="0"/>
    <d v="2024-10-07T00:00:00"/>
    <x v="1"/>
    <x v="0"/>
    <x v="0"/>
    <x v="0"/>
    <x v="0"/>
    <s v="Yes"/>
    <n v="20"/>
    <n v="20"/>
    <x v="8"/>
  </r>
  <r>
    <n v="3456"/>
    <s v="Natália Barros"/>
    <x v="2"/>
    <d v="2024-10-08T00:00:00"/>
    <x v="0"/>
    <x v="2"/>
    <x v="2"/>
    <x v="1"/>
    <x v="1"/>
    <s v="Yes"/>
    <n v="20"/>
    <n v="15"/>
    <x v="7"/>
  </r>
  <r>
    <n v="3457"/>
    <s v="Oscar Sampaio"/>
    <x v="1"/>
    <d v="2024-10-09T00:00:00"/>
    <x v="1"/>
    <x v="1"/>
    <x v="0"/>
    <x v="1"/>
    <x v="1"/>
    <s v="No"/>
    <n v="0"/>
    <n v="1"/>
    <x v="4"/>
  </r>
  <r>
    <n v="3458"/>
    <s v="Patrícia Leite"/>
    <x v="0"/>
    <d v="2024-10-10T00:00:00"/>
    <x v="0"/>
    <x v="0"/>
    <x v="1"/>
    <x v="0"/>
    <x v="0"/>
    <s v="Yes"/>
    <n v="20"/>
    <n v="3"/>
    <x v="3"/>
  </r>
  <r>
    <n v="3459"/>
    <s v="Quênia Rocha"/>
    <x v="2"/>
    <d v="2024-10-11T00:00:00"/>
    <x v="1"/>
    <x v="2"/>
    <x v="0"/>
    <x v="1"/>
    <x v="1"/>
    <s v="Yes"/>
    <n v="20"/>
    <n v="10"/>
    <x v="2"/>
  </r>
  <r>
    <n v="3460"/>
    <s v="Rafael Torres"/>
    <x v="1"/>
    <d v="2024-10-12T00:00:00"/>
    <x v="0"/>
    <x v="1"/>
    <x v="2"/>
    <x v="1"/>
    <x v="1"/>
    <s v="No"/>
    <n v="0"/>
    <n v="0"/>
    <x v="1"/>
  </r>
  <r>
    <n v="3461"/>
    <s v="Sandra Gouveia"/>
    <x v="0"/>
    <d v="2024-10-13T00:00:00"/>
    <x v="1"/>
    <x v="0"/>
    <x v="0"/>
    <x v="0"/>
    <x v="0"/>
    <s v="Yes"/>
    <n v="20"/>
    <n v="15"/>
    <x v="14"/>
  </r>
  <r>
    <n v="3462"/>
    <s v="Tiago Lacerda"/>
    <x v="2"/>
    <d v="2024-10-14T00:00:00"/>
    <x v="0"/>
    <x v="2"/>
    <x v="1"/>
    <x v="1"/>
    <x v="1"/>
    <s v="Yes"/>
    <n v="20"/>
    <n v="15"/>
    <x v="7"/>
  </r>
  <r>
    <n v="3463"/>
    <s v="Ursula Fonseca"/>
    <x v="1"/>
    <d v="2024-10-15T00:00:00"/>
    <x v="1"/>
    <x v="1"/>
    <x v="0"/>
    <x v="1"/>
    <x v="1"/>
    <s v="No"/>
    <n v="0"/>
    <n v="1"/>
    <x v="4"/>
  </r>
  <r>
    <n v="3464"/>
    <s v="Vanessa Andrade"/>
    <x v="0"/>
    <d v="2024-10-16T00:00:00"/>
    <x v="0"/>
    <x v="0"/>
    <x v="2"/>
    <x v="0"/>
    <x v="0"/>
    <s v="Yes"/>
    <n v="20"/>
    <n v="7"/>
    <x v="12"/>
  </r>
  <r>
    <n v="3465"/>
    <s v="William Castro"/>
    <x v="2"/>
    <d v="2024-10-17T00:00:00"/>
    <x v="1"/>
    <x v="2"/>
    <x v="0"/>
    <x v="1"/>
    <x v="1"/>
    <s v="Yes"/>
    <n v="20"/>
    <n v="10"/>
    <x v="2"/>
  </r>
  <r>
    <n v="3466"/>
    <s v="Xavier Monteiro"/>
    <x v="1"/>
    <d v="2024-10-18T00:00:00"/>
    <x v="0"/>
    <x v="1"/>
    <x v="1"/>
    <x v="1"/>
    <x v="1"/>
    <s v="No"/>
    <n v="0"/>
    <n v="0"/>
    <x v="1"/>
  </r>
  <r>
    <n v="3467"/>
    <s v="Yasmin Figueira"/>
    <x v="0"/>
    <d v="2024-10-19T00:00:00"/>
    <x v="1"/>
    <x v="0"/>
    <x v="0"/>
    <x v="0"/>
    <x v="0"/>
    <s v="Yes"/>
    <n v="20"/>
    <n v="15"/>
    <x v="14"/>
  </r>
  <r>
    <n v="3468"/>
    <s v="Zacarias Mendonça"/>
    <x v="2"/>
    <d v="2024-10-20T00:00:00"/>
    <x v="0"/>
    <x v="2"/>
    <x v="2"/>
    <x v="1"/>
    <x v="1"/>
    <s v="Yes"/>
    <n v="20"/>
    <n v="12"/>
    <x v="10"/>
  </r>
  <r>
    <n v="3469"/>
    <s v="Amanda Menezes"/>
    <x v="1"/>
    <d v="2024-10-21T00:00:00"/>
    <x v="1"/>
    <x v="1"/>
    <x v="0"/>
    <x v="1"/>
    <x v="1"/>
    <s v="No"/>
    <n v="0"/>
    <n v="2"/>
    <x v="11"/>
  </r>
  <r>
    <n v="3470"/>
    <s v="Bruno Santos"/>
    <x v="0"/>
    <d v="2024-10-22T00:00:00"/>
    <x v="0"/>
    <x v="0"/>
    <x v="1"/>
    <x v="0"/>
    <x v="0"/>
    <s v="Yes"/>
    <n v="20"/>
    <n v="5"/>
    <x v="0"/>
  </r>
  <r>
    <n v="3471"/>
    <s v="Carla Ferreira"/>
    <x v="2"/>
    <d v="2024-10-23T00:00:00"/>
    <x v="1"/>
    <x v="2"/>
    <x v="0"/>
    <x v="1"/>
    <x v="1"/>
    <s v="Yes"/>
    <n v="20"/>
    <n v="10"/>
    <x v="2"/>
  </r>
  <r>
    <n v="3472"/>
    <s v="Diogo Alves"/>
    <x v="1"/>
    <d v="2024-10-24T00:00:00"/>
    <x v="0"/>
    <x v="1"/>
    <x v="2"/>
    <x v="1"/>
    <x v="1"/>
    <s v="No"/>
    <n v="0"/>
    <n v="0"/>
    <x v="1"/>
  </r>
  <r>
    <n v="3473"/>
    <s v="Elisa Neves"/>
    <x v="0"/>
    <d v="2024-10-25T00:00:00"/>
    <x v="1"/>
    <x v="0"/>
    <x v="0"/>
    <x v="0"/>
    <x v="0"/>
    <s v="Yes"/>
    <n v="20"/>
    <n v="3"/>
    <x v="3"/>
  </r>
  <r>
    <n v="3474"/>
    <s v="Fabiano Pires"/>
    <x v="2"/>
    <d v="2024-10-26T00:00:00"/>
    <x v="0"/>
    <x v="2"/>
    <x v="1"/>
    <x v="1"/>
    <x v="1"/>
    <s v="Yes"/>
    <n v="20"/>
    <n v="15"/>
    <x v="7"/>
  </r>
  <r>
    <n v="3475"/>
    <s v="Giovana Ribeiro"/>
    <x v="1"/>
    <d v="2024-10-27T00:00:00"/>
    <x v="1"/>
    <x v="1"/>
    <x v="0"/>
    <x v="1"/>
    <x v="1"/>
    <s v="No"/>
    <n v="0"/>
    <n v="1"/>
    <x v="4"/>
  </r>
  <r>
    <n v="3476"/>
    <s v="Hélio Costa"/>
    <x v="0"/>
    <d v="2024-10-28T00:00:00"/>
    <x v="0"/>
    <x v="0"/>
    <x v="2"/>
    <x v="0"/>
    <x v="0"/>
    <s v="Yes"/>
    <n v="20"/>
    <n v="7"/>
    <x v="12"/>
  </r>
  <r>
    <n v="3477"/>
    <s v="Íris Loureiro"/>
    <x v="2"/>
    <d v="2024-10-29T00:00:00"/>
    <x v="1"/>
    <x v="2"/>
    <x v="0"/>
    <x v="1"/>
    <x v="1"/>
    <s v="Yes"/>
    <n v="20"/>
    <n v="10"/>
    <x v="2"/>
  </r>
  <r>
    <n v="3478"/>
    <s v="João Pereira"/>
    <x v="1"/>
    <d v="2024-10-30T00:00:00"/>
    <x v="0"/>
    <x v="1"/>
    <x v="1"/>
    <x v="1"/>
    <x v="1"/>
    <s v="No"/>
    <n v="0"/>
    <n v="0"/>
    <x v="1"/>
  </r>
  <r>
    <n v="3479"/>
    <s v="Klara Silva"/>
    <x v="0"/>
    <d v="2024-10-31T00:00:00"/>
    <x v="1"/>
    <x v="0"/>
    <x v="0"/>
    <x v="0"/>
    <x v="0"/>
    <s v="Yes"/>
    <n v="20"/>
    <n v="20"/>
    <x v="8"/>
  </r>
  <r>
    <n v="3480"/>
    <s v="Luciana Barros"/>
    <x v="2"/>
    <d v="2024-11-01T00:00:00"/>
    <x v="0"/>
    <x v="2"/>
    <x v="2"/>
    <x v="1"/>
    <x v="1"/>
    <s v="Yes"/>
    <n v="20"/>
    <n v="15"/>
    <x v="7"/>
  </r>
  <r>
    <n v="3481"/>
    <s v="Marcos Gomes"/>
    <x v="1"/>
    <d v="2024-11-02T00:00:00"/>
    <x v="1"/>
    <x v="1"/>
    <x v="0"/>
    <x v="1"/>
    <x v="1"/>
    <s v="No"/>
    <n v="0"/>
    <n v="1"/>
    <x v="4"/>
  </r>
  <r>
    <n v="3482"/>
    <s v="Natália Soares"/>
    <x v="0"/>
    <d v="2024-11-03T00:00:00"/>
    <x v="0"/>
    <x v="0"/>
    <x v="1"/>
    <x v="0"/>
    <x v="0"/>
    <s v="Yes"/>
    <n v="20"/>
    <n v="3"/>
    <x v="3"/>
  </r>
  <r>
    <n v="3483"/>
    <s v="Oscar Machado"/>
    <x v="2"/>
    <d v="2024-11-04T00:00:00"/>
    <x v="1"/>
    <x v="2"/>
    <x v="0"/>
    <x v="1"/>
    <x v="1"/>
    <s v="Yes"/>
    <n v="20"/>
    <n v="10"/>
    <x v="2"/>
  </r>
  <r>
    <n v="3484"/>
    <s v="Patrícia Lima"/>
    <x v="1"/>
    <d v="2024-11-05T00:00:00"/>
    <x v="0"/>
    <x v="1"/>
    <x v="2"/>
    <x v="1"/>
    <x v="1"/>
    <s v="No"/>
    <n v="0"/>
    <n v="0"/>
    <x v="1"/>
  </r>
  <r>
    <n v="3485"/>
    <s v="Quirino Neto"/>
    <x v="0"/>
    <d v="2024-11-06T00:00:00"/>
    <x v="1"/>
    <x v="0"/>
    <x v="0"/>
    <x v="0"/>
    <x v="0"/>
    <s v="Yes"/>
    <n v="20"/>
    <n v="15"/>
    <x v="14"/>
  </r>
  <r>
    <n v="3486"/>
    <s v="Rafaela Souza"/>
    <x v="1"/>
    <d v="2024-11-07T00:00:00"/>
    <x v="0"/>
    <x v="1"/>
    <x v="0"/>
    <x v="1"/>
    <x v="1"/>
    <s v="No"/>
    <n v="0"/>
    <n v="0"/>
    <x v="1"/>
  </r>
  <r>
    <n v="3487"/>
    <s v="Sandro Almeida"/>
    <x v="0"/>
    <d v="2024-11-08T00:00:00"/>
    <x v="1"/>
    <x v="0"/>
    <x v="2"/>
    <x v="0"/>
    <x v="0"/>
    <s v="Yes"/>
    <n v="20"/>
    <n v="7"/>
    <x v="12"/>
  </r>
  <r>
    <n v="3488"/>
    <s v="Tânia Ribeiro"/>
    <x v="2"/>
    <d v="2024-11-09T00:00:00"/>
    <x v="0"/>
    <x v="2"/>
    <x v="1"/>
    <x v="1"/>
    <x v="1"/>
    <s v="Yes"/>
    <n v="20"/>
    <n v="10"/>
    <x v="2"/>
  </r>
  <r>
    <n v="3489"/>
    <s v="Ugo Dias"/>
    <x v="1"/>
    <d v="2024-11-10T00:00:00"/>
    <x v="1"/>
    <x v="1"/>
    <x v="2"/>
    <x v="1"/>
    <x v="1"/>
    <s v="No"/>
    <n v="0"/>
    <n v="1"/>
    <x v="4"/>
  </r>
  <r>
    <n v="3490"/>
    <s v="Valéria Lima"/>
    <x v="0"/>
    <d v="2024-11-11T00:00:00"/>
    <x v="0"/>
    <x v="0"/>
    <x v="0"/>
    <x v="0"/>
    <x v="0"/>
    <s v="Yes"/>
    <n v="20"/>
    <n v="15"/>
    <x v="14"/>
  </r>
  <r>
    <n v="3491"/>
    <s v="William Fernandes"/>
    <x v="2"/>
    <d v="2024-11-12T00:00:00"/>
    <x v="1"/>
    <x v="2"/>
    <x v="0"/>
    <x v="1"/>
    <x v="1"/>
    <s v="Yes"/>
    <n v="20"/>
    <n v="5"/>
    <x v="13"/>
  </r>
  <r>
    <n v="3492"/>
    <s v="Xuxa Mendes"/>
    <x v="1"/>
    <d v="2024-11-13T00:00:00"/>
    <x v="0"/>
    <x v="1"/>
    <x v="1"/>
    <x v="1"/>
    <x v="1"/>
    <s v="No"/>
    <n v="0"/>
    <n v="0"/>
    <x v="1"/>
  </r>
  <r>
    <n v="3493"/>
    <s v="Ygor Farias"/>
    <x v="0"/>
    <d v="2024-11-14T00:00:00"/>
    <x v="1"/>
    <x v="0"/>
    <x v="2"/>
    <x v="0"/>
    <x v="0"/>
    <s v="Yes"/>
    <n v="20"/>
    <n v="20"/>
    <x v="8"/>
  </r>
  <r>
    <n v="3494"/>
    <s v="Zilda Barros"/>
    <x v="2"/>
    <d v="2024-11-15T00:00:00"/>
    <x v="0"/>
    <x v="2"/>
    <x v="2"/>
    <x v="1"/>
    <x v="1"/>
    <s v="Yes"/>
    <n v="20"/>
    <n v="12"/>
    <x v="10"/>
  </r>
  <r>
    <n v="3495"/>
    <s v="Amanda Santos"/>
    <x v="1"/>
    <d v="2024-11-16T00:00:00"/>
    <x v="1"/>
    <x v="1"/>
    <x v="0"/>
    <x v="1"/>
    <x v="1"/>
    <s v="No"/>
    <n v="0"/>
    <n v="2"/>
    <x v="11"/>
  </r>
  <r>
    <n v="3496"/>
    <s v="Bruno Costa"/>
    <x v="0"/>
    <d v="2024-11-17T00:00:00"/>
    <x v="0"/>
    <x v="0"/>
    <x v="1"/>
    <x v="0"/>
    <x v="0"/>
    <s v="Yes"/>
    <n v="20"/>
    <n v="5"/>
    <x v="0"/>
  </r>
  <r>
    <n v="3497"/>
    <s v="Carla Rodrigues"/>
    <x v="2"/>
    <d v="2024-11-18T00:00:00"/>
    <x v="1"/>
    <x v="2"/>
    <x v="0"/>
    <x v="1"/>
    <x v="1"/>
    <s v="Yes"/>
    <n v="20"/>
    <n v="10"/>
    <x v="2"/>
  </r>
  <r>
    <n v="3498"/>
    <s v="Diogo Pereira"/>
    <x v="1"/>
    <d v="2024-11-19T00:00:00"/>
    <x v="0"/>
    <x v="1"/>
    <x v="2"/>
    <x v="1"/>
    <x v="1"/>
    <s v="No"/>
    <n v="0"/>
    <n v="0"/>
    <x v="1"/>
  </r>
  <r>
    <n v="3499"/>
    <s v="Elisa Correia"/>
    <x v="0"/>
    <d v="2024-11-20T00:00:00"/>
    <x v="1"/>
    <x v="0"/>
    <x v="0"/>
    <x v="0"/>
    <x v="0"/>
    <s v="Yes"/>
    <n v="20"/>
    <n v="3"/>
    <x v="3"/>
  </r>
  <r>
    <n v="3500"/>
    <s v="Fábio Lourenço"/>
    <x v="2"/>
    <d v="2024-11-21T00:00:00"/>
    <x v="0"/>
    <x v="2"/>
    <x v="1"/>
    <x v="1"/>
    <x v="1"/>
    <s v="Yes"/>
    <n v="20"/>
    <n v="15"/>
    <x v="7"/>
  </r>
  <r>
    <n v="3501"/>
    <s v="Gabriela Neves"/>
    <x v="1"/>
    <d v="2024-11-22T00:00:00"/>
    <x v="1"/>
    <x v="1"/>
    <x v="0"/>
    <x v="1"/>
    <x v="1"/>
    <s v="No"/>
    <n v="0"/>
    <n v="1"/>
    <x v="4"/>
  </r>
  <r>
    <n v="3502"/>
    <s v="Henrique Gonçalves"/>
    <x v="0"/>
    <d v="2024-11-23T00:00:00"/>
    <x v="0"/>
    <x v="0"/>
    <x v="2"/>
    <x v="0"/>
    <x v="0"/>
    <s v="Yes"/>
    <n v="20"/>
    <n v="7"/>
    <x v="12"/>
  </r>
  <r>
    <n v="3503"/>
    <s v="Íris Santos"/>
    <x v="2"/>
    <d v="2024-11-24T00:00:00"/>
    <x v="1"/>
    <x v="2"/>
    <x v="0"/>
    <x v="1"/>
    <x v="1"/>
    <s v="Yes"/>
    <n v="20"/>
    <n v="10"/>
    <x v="2"/>
  </r>
  <r>
    <n v="3504"/>
    <s v="João Marcelo Alves"/>
    <x v="1"/>
    <d v="2024-11-25T00:00:00"/>
    <x v="0"/>
    <x v="1"/>
    <x v="1"/>
    <x v="1"/>
    <x v="1"/>
    <s v="No"/>
    <n v="0"/>
    <n v="0"/>
    <x v="1"/>
  </r>
  <r>
    <n v="3505"/>
    <s v="Klara Fonseca"/>
    <x v="0"/>
    <d v="2024-11-26T00:00:00"/>
    <x v="1"/>
    <x v="0"/>
    <x v="0"/>
    <x v="0"/>
    <x v="0"/>
    <s v="Yes"/>
    <n v="20"/>
    <n v="20"/>
    <x v="8"/>
  </r>
  <r>
    <n v="3506"/>
    <s v="Lucas Mendonça"/>
    <x v="2"/>
    <d v="2024-11-27T00:00:00"/>
    <x v="0"/>
    <x v="2"/>
    <x v="2"/>
    <x v="1"/>
    <x v="1"/>
    <s v="Yes"/>
    <n v="20"/>
    <n v="15"/>
    <x v="7"/>
  </r>
  <r>
    <n v="3507"/>
    <s v="Marcela Torres"/>
    <x v="1"/>
    <d v="2024-11-28T00:00:00"/>
    <x v="1"/>
    <x v="1"/>
    <x v="0"/>
    <x v="1"/>
    <x v="1"/>
    <s v="No"/>
    <n v="0"/>
    <n v="1"/>
    <x v="4"/>
  </r>
  <r>
    <n v="3508"/>
    <s v="Natália Castro"/>
    <x v="0"/>
    <d v="2024-11-29T00:00:00"/>
    <x v="0"/>
    <x v="0"/>
    <x v="1"/>
    <x v="0"/>
    <x v="0"/>
    <s v="Yes"/>
    <n v="20"/>
    <n v="3"/>
    <x v="3"/>
  </r>
  <r>
    <n v="3509"/>
    <s v="Oscar Martins"/>
    <x v="2"/>
    <d v="2024-11-30T00:00:00"/>
    <x v="1"/>
    <x v="2"/>
    <x v="0"/>
    <x v="1"/>
    <x v="1"/>
    <s v="Yes"/>
    <n v="20"/>
    <n v="10"/>
    <x v="2"/>
  </r>
  <r>
    <n v="3510"/>
    <s v="Patrícia Oliveira"/>
    <x v="1"/>
    <d v="2024-12-01T00:00:00"/>
    <x v="0"/>
    <x v="1"/>
    <x v="2"/>
    <x v="1"/>
    <x v="1"/>
    <s v="No"/>
    <n v="0"/>
    <n v="0"/>
    <x v="1"/>
  </r>
  <r>
    <n v="3511"/>
    <s v="Quentin Nogueira"/>
    <x v="0"/>
    <d v="2024-12-02T00:00:00"/>
    <x v="1"/>
    <x v="0"/>
    <x v="0"/>
    <x v="0"/>
    <x v="0"/>
    <s v="Yes"/>
    <n v="20"/>
    <n v="15"/>
    <x v="14"/>
  </r>
  <r>
    <n v="3512"/>
    <s v="Raquel Silva"/>
    <x v="2"/>
    <d v="2024-12-03T00:00:00"/>
    <x v="0"/>
    <x v="2"/>
    <x v="1"/>
    <x v="1"/>
    <x v="1"/>
    <s v="Yes"/>
    <n v="20"/>
    <n v="15"/>
    <x v="7"/>
  </r>
  <r>
    <n v="3513"/>
    <s v="Sandro Gomes"/>
    <x v="1"/>
    <d v="2024-12-04T00:00:00"/>
    <x v="1"/>
    <x v="1"/>
    <x v="0"/>
    <x v="1"/>
    <x v="1"/>
    <s v="No"/>
    <n v="0"/>
    <n v="1"/>
    <x v="4"/>
  </r>
  <r>
    <n v="3514"/>
    <s v="Tânia Machado"/>
    <x v="0"/>
    <d v="2024-12-05T00:00:00"/>
    <x v="0"/>
    <x v="0"/>
    <x v="2"/>
    <x v="0"/>
    <x v="0"/>
    <s v="Yes"/>
    <n v="20"/>
    <n v="7"/>
    <x v="12"/>
  </r>
  <r>
    <n v="3515"/>
    <s v="Ursula Silva"/>
    <x v="2"/>
    <d v="2024-12-06T00:00:00"/>
    <x v="1"/>
    <x v="2"/>
    <x v="0"/>
    <x v="1"/>
    <x v="1"/>
    <s v="Yes"/>
    <n v="20"/>
    <n v="10"/>
    <x v="2"/>
  </r>
  <r>
    <n v="3516"/>
    <s v="Vanessa Moraes"/>
    <x v="1"/>
    <d v="2024-12-07T00:00:00"/>
    <x v="0"/>
    <x v="1"/>
    <x v="1"/>
    <x v="1"/>
    <x v="1"/>
    <s v="No"/>
    <n v="0"/>
    <n v="0"/>
    <x v="1"/>
  </r>
  <r>
    <n v="3517"/>
    <s v="William Carvalho"/>
    <x v="0"/>
    <d v="2024-12-08T00:00:00"/>
    <x v="1"/>
    <x v="0"/>
    <x v="0"/>
    <x v="0"/>
    <x v="0"/>
    <s v="Yes"/>
    <n v="20"/>
    <n v="20"/>
    <x v="8"/>
  </r>
  <r>
    <n v="3518"/>
    <s v="Xavier Reis"/>
    <x v="2"/>
    <d v="2024-12-09T00:00:00"/>
    <x v="0"/>
    <x v="2"/>
    <x v="2"/>
    <x v="1"/>
    <x v="1"/>
    <s v="Yes"/>
    <n v="20"/>
    <n v="12"/>
    <x v="10"/>
  </r>
  <r>
    <n v="3519"/>
    <s v="Yasmin Rocha"/>
    <x v="1"/>
    <d v="2024-12-10T00:00:00"/>
    <x v="1"/>
    <x v="1"/>
    <x v="0"/>
    <x v="1"/>
    <x v="1"/>
    <s v="No"/>
    <n v="0"/>
    <n v="2"/>
    <x v="11"/>
  </r>
  <r>
    <n v="3520"/>
    <s v="Zacarias Duarte"/>
    <x v="0"/>
    <d v="2024-12-11T00:00:00"/>
    <x v="0"/>
    <x v="0"/>
    <x v="1"/>
    <x v="0"/>
    <x v="0"/>
    <s v="Yes"/>
    <n v="20"/>
    <n v="5"/>
    <x v="0"/>
  </r>
  <r>
    <n v="3521"/>
    <s v="Amanda Freitas"/>
    <x v="2"/>
    <d v="2024-12-12T00:00:00"/>
    <x v="1"/>
    <x v="2"/>
    <x v="0"/>
    <x v="1"/>
    <x v="1"/>
    <s v="Yes"/>
    <n v="20"/>
    <n v="10"/>
    <x v="2"/>
  </r>
  <r>
    <n v="3522"/>
    <s v="Bruno Almeida"/>
    <x v="1"/>
    <d v="2024-12-13T00:00:00"/>
    <x v="0"/>
    <x v="1"/>
    <x v="2"/>
    <x v="1"/>
    <x v="1"/>
    <s v="No"/>
    <n v="0"/>
    <n v="0"/>
    <x v="1"/>
  </r>
  <r>
    <n v="3523"/>
    <s v="Carla Siqueira"/>
    <x v="0"/>
    <d v="2024-12-14T00:00:00"/>
    <x v="1"/>
    <x v="0"/>
    <x v="0"/>
    <x v="0"/>
    <x v="0"/>
    <s v="Yes"/>
    <n v="20"/>
    <n v="3"/>
    <x v="3"/>
  </r>
  <r>
    <n v="3524"/>
    <s v="Diogo Ramos"/>
    <x v="2"/>
    <d v="2024-12-15T00:00:00"/>
    <x v="0"/>
    <x v="2"/>
    <x v="1"/>
    <x v="1"/>
    <x v="1"/>
    <s v="Yes"/>
    <n v="20"/>
    <n v="15"/>
    <x v="7"/>
  </r>
  <r>
    <n v="3525"/>
    <s v="Elisa Magalhães"/>
    <x v="1"/>
    <d v="2024-12-16T00:00:00"/>
    <x v="1"/>
    <x v="1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F22A6-551B-4742-A9AE-CE0FE409FCB5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5">
    <format dxfId="90">
      <pivotArea collapsedLevelsAreSubtotals="1" fieldPosition="0">
        <references count="1">
          <reference field="6" count="1">
            <x v="1"/>
          </reference>
        </references>
      </pivotArea>
    </format>
    <format dxfId="91">
      <pivotArea collapsedLevelsAreSubtotals="1" fieldPosition="0">
        <references count="1">
          <reference field="6" count="1">
            <x v="2"/>
          </reference>
        </references>
      </pivotArea>
    </format>
    <format dxfId="92">
      <pivotArea collapsedLevelsAreSubtotals="1" fieldPosition="0">
        <references count="1">
          <reference field="6" count="1">
            <x v="0"/>
          </reference>
        </references>
      </pivotArea>
    </format>
    <format dxfId="93">
      <pivotArea dataOnly="0" labelOnly="1" outline="0" axis="axisValues" fieldPosition="0"/>
    </format>
    <format dxfId="94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BFAF2-7A7B-40FC-99B9-C5BFAAFA23F6}" name="TBN_EA SEASON_ 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3:C1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5"/>
  </dataFields>
  <formats count="5">
    <format dxfId="95">
      <pivotArea collapsedLevelsAreSubtotals="1" fieldPosition="0">
        <references count="1">
          <reference field="6" count="1">
            <x v="1"/>
          </reference>
        </references>
      </pivotArea>
    </format>
    <format dxfId="96">
      <pivotArea collapsedLevelsAreSubtotals="1" fieldPosition="0">
        <references count="1">
          <reference field="6" count="1">
            <x v="2"/>
          </reference>
        </references>
      </pivotArea>
    </format>
    <format dxfId="97">
      <pivotArea collapsedLevelsAreSubtotals="1" fieldPosition="0">
        <references count="1">
          <reference field="6" count="1">
            <x v="0"/>
          </reference>
        </references>
      </pivotArea>
    </format>
    <format dxfId="98">
      <pivotArea dataOnly="0" labelOnly="1" outline="0" axis="axisValues" fieldPosition="0"/>
    </format>
    <format dxfId="99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E9864-5350-422D-8BEA-2CDC7E3722C8}" name="TBN_ANNUAL-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5:C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5"/>
  </dataFields>
  <formats count="5">
    <format dxfId="100">
      <pivotArea collapsedLevelsAreSubtotals="1" fieldPosition="0">
        <references count="1">
          <reference field="6" count="1">
            <x v="1"/>
          </reference>
        </references>
      </pivotArea>
    </format>
    <format dxfId="101">
      <pivotArea collapsedLevelsAreSubtotals="1" fieldPosition="0">
        <references count="1">
          <reference field="6" count="1">
            <x v="2"/>
          </reference>
        </references>
      </pivotArea>
    </format>
    <format dxfId="102">
      <pivotArea collapsedLevelsAreSubtotals="1" fieldPosition="0">
        <references count="1">
          <reference field="6" count="1">
            <x v="0"/>
          </reference>
        </references>
      </pivotArea>
    </format>
    <format dxfId="103">
      <pivotArea outline="0" collapsedLevelsAreSubtotals="1" fieldPosition="0"/>
    </format>
    <format dxfId="104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F222730-7415-4FA9-A9E5-92F30C7685F6}" sourceName="Subscription Type">
  <pivotTables>
    <pivotTable tabId="3" name="TBN_ANNUAL-TOTAL"/>
    <pivotTable tabId="3" name="TBN_EA SEASON_ TOTAL"/>
    <pivotTable tabId="3" name="Tabela dinâmica4"/>
  </pivotTables>
  <data>
    <tabular pivotCacheId="193816005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C9A2E8-2572-494F-9637-D8788813EFF4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20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19"/>
    <tableColumn id="2" xr3:uid="{53DD39D0-2220-4121-9E9D-4EAA7E151C0F}" name="Name" dataDxfId="118"/>
    <tableColumn id="3" xr3:uid="{4F5FF271-4C57-4BE0-8F2C-F82C8551625C}" name="Plan" dataDxfId="117"/>
    <tableColumn id="4" xr3:uid="{8C17EB93-79B9-4E55-B8F7-BEB82F8253E9}" name="Start Date" dataDxfId="116"/>
    <tableColumn id="5" xr3:uid="{48CEDF9B-1689-482A-A828-5CCE7713264A}" name="Auto Renewal" dataDxfId="115"/>
    <tableColumn id="6" xr3:uid="{78B82374-9AA7-4E38-AE4F-78CDE6C83720}" name="Subscription Price" dataDxfId="114" dataCellStyle="Moeda"/>
    <tableColumn id="7" xr3:uid="{F2433F68-AF33-49D0-B1FB-19A396074EDE}" name="Subscription Type" dataDxfId="113"/>
    <tableColumn id="8" xr3:uid="{FD4D9C95-F6E5-4933-9068-A71FF7DF9343}" name="EA Play Season Pass" dataDxfId="112"/>
    <tableColumn id="13" xr3:uid="{978DD0D2-834E-4CE4-A39B-30976086932F}" name="EA Play Season Pass_x000a_Price" dataDxfId="111" dataCellStyle="Moeda"/>
    <tableColumn id="9" xr3:uid="{6E29F111-C395-4580-9DAD-3407D9E8B1A4}" name="Minecraft Season Pass" dataDxfId="110"/>
    <tableColumn id="10" xr3:uid="{EF544EAA-7F25-4FD5-A10E-8E62804DB9E3}" name="Minecraft Season Pass Price" dataDxfId="109" dataCellStyle="Moeda"/>
    <tableColumn id="11" xr3:uid="{7F6EB64A-1F07-4E48-9F0F-AC7D9DCD26F8}" name="Coupon Value" dataDxfId="108" dataCellStyle="Moeda"/>
    <tableColumn id="12" xr3:uid="{2B04ABC8-DE6F-426E-ADC0-D8AFC68CA58E}" name="Total Value" dataDxfId="10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L5" sqref="L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L5" sqref="L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3:D27"/>
  <sheetViews>
    <sheetView showGridLines="0" topLeftCell="A7" workbookViewId="0">
      <selection activeCell="A12" sqref="A12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10.5546875" bestFit="1" customWidth="1"/>
    <col min="6" max="10" width="9.33203125" bestFit="1" customWidth="1"/>
    <col min="11" max="11" width="11.3320312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4" x14ac:dyDescent="0.3">
      <c r="B3" s="13" t="s">
        <v>16</v>
      </c>
      <c r="C3" t="s">
        <v>24</v>
      </c>
    </row>
    <row r="5" spans="2:4" x14ac:dyDescent="0.3">
      <c r="B5" s="13" t="s">
        <v>314</v>
      </c>
      <c r="C5" s="16" t="s">
        <v>313</v>
      </c>
    </row>
    <row r="6" spans="2:4" x14ac:dyDescent="0.3">
      <c r="B6" s="14" t="s">
        <v>23</v>
      </c>
      <c r="C6" s="16">
        <v>217</v>
      </c>
    </row>
    <row r="7" spans="2:4" x14ac:dyDescent="0.3">
      <c r="B7" s="14" t="s">
        <v>19</v>
      </c>
      <c r="C7" s="16">
        <v>1537</v>
      </c>
    </row>
    <row r="8" spans="2:4" x14ac:dyDescent="0.3">
      <c r="B8" s="14" t="s">
        <v>315</v>
      </c>
      <c r="C8" s="16">
        <v>1754</v>
      </c>
    </row>
    <row r="11" spans="2:4" x14ac:dyDescent="0.3">
      <c r="B11" s="13" t="s">
        <v>16</v>
      </c>
      <c r="C11" t="s">
        <v>24</v>
      </c>
    </row>
    <row r="13" spans="2:4" x14ac:dyDescent="0.3">
      <c r="B13" s="13" t="s">
        <v>314</v>
      </c>
      <c r="C13" s="12" t="s">
        <v>317</v>
      </c>
    </row>
    <row r="14" spans="2:4" x14ac:dyDescent="0.3">
      <c r="B14" s="14" t="s">
        <v>22</v>
      </c>
      <c r="C14" s="16">
        <v>0</v>
      </c>
    </row>
    <row r="15" spans="2:4" x14ac:dyDescent="0.3">
      <c r="B15" s="14" t="s">
        <v>26</v>
      </c>
      <c r="C15" s="16">
        <v>0</v>
      </c>
    </row>
    <row r="16" spans="2:4" x14ac:dyDescent="0.3">
      <c r="B16" s="14" t="s">
        <v>18</v>
      </c>
      <c r="C16" s="16">
        <v>600</v>
      </c>
      <c r="D16" s="16">
        <f>GETPIVOTDATA("EA Play Season Pass
Price",$B$13,"Plan","Ultimate")</f>
        <v>600</v>
      </c>
    </row>
    <row r="17" spans="2:4" x14ac:dyDescent="0.3">
      <c r="B17" s="14" t="s">
        <v>315</v>
      </c>
      <c r="C17" s="16">
        <v>600</v>
      </c>
    </row>
    <row r="21" spans="2:4" x14ac:dyDescent="0.3">
      <c r="B21" s="13" t="s">
        <v>16</v>
      </c>
      <c r="C21" t="s">
        <v>24</v>
      </c>
    </row>
    <row r="23" spans="2:4" x14ac:dyDescent="0.3">
      <c r="B23" s="13" t="s">
        <v>314</v>
      </c>
      <c r="C23" s="12" t="s">
        <v>318</v>
      </c>
    </row>
    <row r="24" spans="2:4" x14ac:dyDescent="0.3">
      <c r="B24" s="14" t="s">
        <v>22</v>
      </c>
      <c r="C24" s="15">
        <v>0</v>
      </c>
    </row>
    <row r="25" spans="2:4" x14ac:dyDescent="0.3">
      <c r="B25" s="14" t="s">
        <v>26</v>
      </c>
      <c r="C25" s="15">
        <v>540</v>
      </c>
    </row>
    <row r="26" spans="2:4" x14ac:dyDescent="0.3">
      <c r="B26" s="14" t="s">
        <v>18</v>
      </c>
      <c r="C26" s="15">
        <v>400</v>
      </c>
    </row>
    <row r="27" spans="2:4" x14ac:dyDescent="0.3">
      <c r="B27" s="14" t="s">
        <v>315</v>
      </c>
      <c r="C27" s="15">
        <v>940</v>
      </c>
      <c r="D27" s="16">
        <f>GETPIVOTDATA("Minecraft Season Pass Price",$B$23)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U9"/>
  <sheetViews>
    <sheetView showGridLines="0" showRowColHeaders="0" tabSelected="1" zoomScaleNormal="100" workbookViewId="0">
      <selection activeCell="C13" sqref="C13"/>
    </sheetView>
  </sheetViews>
  <sheetFormatPr defaultRowHeight="14.4" x14ac:dyDescent="0.3"/>
  <cols>
    <col min="1" max="1" width="28.5546875" style="17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21" customFormat="1" x14ac:dyDescent="0.3">
      <c r="A1" s="17"/>
    </row>
    <row r="2" spans="1:21" customFormat="1" ht="39" customHeight="1" thickBot="1" x14ac:dyDescent="0.45">
      <c r="A2" s="17"/>
      <c r="B2" s="23"/>
      <c r="C2" s="24" t="s">
        <v>316</v>
      </c>
      <c r="D2" s="21"/>
      <c r="E2" s="21"/>
      <c r="F2" s="21"/>
      <c r="G2" s="21"/>
      <c r="H2" s="21"/>
      <c r="I2" s="21"/>
      <c r="J2" s="21"/>
      <c r="K2" s="21"/>
      <c r="L2" s="22"/>
      <c r="M2" s="22"/>
      <c r="N2" s="22"/>
      <c r="O2" s="22"/>
      <c r="P2" s="22"/>
      <c r="Q2" s="22"/>
      <c r="R2" s="22"/>
      <c r="S2" s="22"/>
      <c r="T2" s="22"/>
      <c r="U2" s="20"/>
    </row>
    <row r="3" spans="1:21" customFormat="1" ht="8.25" customHeight="1" thickTop="1" x14ac:dyDescent="0.3">
      <c r="A3" s="17"/>
    </row>
    <row r="4" spans="1:21" ht="14.4" customHeight="1" x14ac:dyDescent="0.3">
      <c r="C4" s="25" t="s">
        <v>319</v>
      </c>
    </row>
    <row r="5" spans="1:21" ht="8.25" customHeight="1" x14ac:dyDescent="0.3"/>
    <row r="6" spans="1:21" ht="10.5" customHeight="1" x14ac:dyDescent="0.3"/>
    <row r="7" spans="1:21" ht="9.75" customHeight="1" x14ac:dyDescent="0.3">
      <c r="A7" s="18"/>
    </row>
    <row r="8" spans="1:21" ht="33" customHeight="1" x14ac:dyDescent="0.3"/>
    <row r="9" spans="1:21" x14ac:dyDescent="0.3">
      <c r="O9" s="19"/>
    </row>
  </sheetData>
  <sheetProtection selectLockedCells="1" pivotTables="0" selectUn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www.w3.org/XML/1998/namespace"/>
    <ds:schemaRef ds:uri="http://purl.org/dc/dcmitype/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851b35d3-0456-4d6a-bc2f-da927e91d158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Pedro</cp:lastModifiedBy>
  <dcterms:created xsi:type="dcterms:W3CDTF">2024-12-19T13:13:10Z</dcterms:created>
  <dcterms:modified xsi:type="dcterms:W3CDTF">2026-09-24T03:06:39Z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